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inhdo/Desktop/CEUS_Review/Appendix/Appendix on Supplementary Data (Oct–Nov 2025)/"/>
    </mc:Choice>
  </mc:AlternateContent>
  <xr:revisionPtr revIDLastSave="0" documentId="13_ncr:1_{561D1BF1-B1F8-FA4D-A0A7-DCB129023D62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harging Infrastructure" sheetId="1" r:id="rId1"/>
    <sheet name="C_Vehicles" sheetId="2" r:id="rId2"/>
    <sheet name="J_Vehicles" sheetId="3" r:id="rId3"/>
    <sheet name="All_Vehicles" sheetId="4" r:id="rId4"/>
  </sheets>
  <definedNames>
    <definedName name="_xlnm._FilterDatabase" localSheetId="3" hidden="1">All_Vehicles!$A$1:$P$50</definedName>
    <definedName name="_xlnm._FilterDatabase" localSheetId="1" hidden="1">C_Vehicles!$A$1:$P$50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M7" i="2"/>
  <c r="P7" i="2" s="1"/>
  <c r="M8" i="2"/>
  <c r="P8" i="2" s="1"/>
  <c r="M9" i="2"/>
  <c r="P9" i="2" s="1"/>
  <c r="M10" i="2"/>
  <c r="P10" i="2" s="1"/>
  <c r="M11" i="2"/>
  <c r="P11" i="2" s="1"/>
  <c r="M15" i="2"/>
  <c r="P15" i="2" s="1"/>
  <c r="M16" i="2"/>
  <c r="P16" i="2" s="1"/>
  <c r="M17" i="2"/>
  <c r="P17" i="2" s="1"/>
  <c r="M18" i="2"/>
  <c r="P18" i="2" s="1"/>
  <c r="M19" i="2"/>
  <c r="P19" i="2" s="1"/>
  <c r="M24" i="2"/>
  <c r="P24" i="2" s="1"/>
  <c r="M25" i="2"/>
  <c r="P25" i="2" s="1"/>
  <c r="M26" i="2"/>
  <c r="P26" i="2" s="1"/>
  <c r="M27" i="2"/>
  <c r="P27" i="2" s="1"/>
  <c r="M32" i="2"/>
  <c r="P32" i="2" s="1"/>
  <c r="M34" i="2"/>
  <c r="P34" i="2" s="1"/>
  <c r="M35" i="2"/>
  <c r="P35" i="2" s="1"/>
  <c r="M41" i="2"/>
  <c r="P41" i="2" s="1"/>
  <c r="M42" i="2"/>
  <c r="P42" i="2" s="1"/>
  <c r="M43" i="2"/>
  <c r="P43" i="2" s="1"/>
  <c r="M47" i="2"/>
  <c r="P47" i="2" s="1"/>
  <c r="M48" i="2"/>
  <c r="P48" i="2" s="1"/>
  <c r="M49" i="2"/>
  <c r="P49" i="2" s="1"/>
  <c r="M50" i="2"/>
  <c r="P50" i="2" s="1"/>
  <c r="M3" i="2"/>
  <c r="P3" i="2" s="1"/>
  <c r="K4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L50" i="4"/>
  <c r="K50" i="4"/>
  <c r="J50" i="4"/>
  <c r="I50" i="4"/>
  <c r="H50" i="4"/>
  <c r="G50" i="4"/>
  <c r="F50" i="4"/>
  <c r="L49" i="4"/>
  <c r="K49" i="4"/>
  <c r="J49" i="4"/>
  <c r="I49" i="4"/>
  <c r="H49" i="4"/>
  <c r="G49" i="4"/>
  <c r="F49" i="4"/>
  <c r="L48" i="4"/>
  <c r="K48" i="4"/>
  <c r="J48" i="4"/>
  <c r="I48" i="4"/>
  <c r="H48" i="4"/>
  <c r="G48" i="4"/>
  <c r="F48" i="4"/>
  <c r="L47" i="4"/>
  <c r="K47" i="4"/>
  <c r="J47" i="4"/>
  <c r="I47" i="4"/>
  <c r="H47" i="4"/>
  <c r="G47" i="4"/>
  <c r="F47" i="4"/>
  <c r="L46" i="4"/>
  <c r="K46" i="4"/>
  <c r="J46" i="4"/>
  <c r="I46" i="4"/>
  <c r="H46" i="4"/>
  <c r="G46" i="4"/>
  <c r="F46" i="4"/>
  <c r="L45" i="4"/>
  <c r="K45" i="4"/>
  <c r="J45" i="4"/>
  <c r="I45" i="4"/>
  <c r="H45" i="4"/>
  <c r="G45" i="4"/>
  <c r="F45" i="4"/>
  <c r="L44" i="4"/>
  <c r="K44" i="4"/>
  <c r="J44" i="4"/>
  <c r="I44" i="4"/>
  <c r="H44" i="4"/>
  <c r="G44" i="4"/>
  <c r="F44" i="4"/>
  <c r="L43" i="4"/>
  <c r="K43" i="4"/>
  <c r="J43" i="4"/>
  <c r="I43" i="4"/>
  <c r="H43" i="4"/>
  <c r="G43" i="4"/>
  <c r="F43" i="4"/>
  <c r="L42" i="4"/>
  <c r="K42" i="4"/>
  <c r="J42" i="4"/>
  <c r="I42" i="4"/>
  <c r="H42" i="4"/>
  <c r="G42" i="4"/>
  <c r="F42" i="4"/>
  <c r="L41" i="4"/>
  <c r="K41" i="4"/>
  <c r="J41" i="4"/>
  <c r="I41" i="4"/>
  <c r="H41" i="4"/>
  <c r="G41" i="4"/>
  <c r="F41" i="4"/>
  <c r="L40" i="4"/>
  <c r="K40" i="4"/>
  <c r="J40" i="4"/>
  <c r="I40" i="4"/>
  <c r="H40" i="4"/>
  <c r="G40" i="4"/>
  <c r="F40" i="4"/>
  <c r="L39" i="4"/>
  <c r="K39" i="4"/>
  <c r="J39" i="4"/>
  <c r="I39" i="4"/>
  <c r="H39" i="4"/>
  <c r="G39" i="4"/>
  <c r="F39" i="4"/>
  <c r="L38" i="4"/>
  <c r="K38" i="4"/>
  <c r="J38" i="4"/>
  <c r="I38" i="4"/>
  <c r="H38" i="4"/>
  <c r="G38" i="4"/>
  <c r="F38" i="4"/>
  <c r="L37" i="4"/>
  <c r="K37" i="4"/>
  <c r="J37" i="4"/>
  <c r="I37" i="4"/>
  <c r="H37" i="4"/>
  <c r="G37" i="4"/>
  <c r="F37" i="4"/>
  <c r="L36" i="4"/>
  <c r="K36" i="4"/>
  <c r="J36" i="4"/>
  <c r="I36" i="4"/>
  <c r="H36" i="4"/>
  <c r="G36" i="4"/>
  <c r="F36" i="4"/>
  <c r="L35" i="4"/>
  <c r="K35" i="4"/>
  <c r="J35" i="4"/>
  <c r="I35" i="4"/>
  <c r="H35" i="4"/>
  <c r="G35" i="4"/>
  <c r="F35" i="4"/>
  <c r="L34" i="4"/>
  <c r="K34" i="4"/>
  <c r="J34" i="4"/>
  <c r="I34" i="4"/>
  <c r="H34" i="4"/>
  <c r="G34" i="4"/>
  <c r="F34" i="4"/>
  <c r="L33" i="4"/>
  <c r="K33" i="4"/>
  <c r="J33" i="4"/>
  <c r="I33" i="4"/>
  <c r="H33" i="4"/>
  <c r="G33" i="4"/>
  <c r="F33" i="4"/>
  <c r="L32" i="4"/>
  <c r="K32" i="4"/>
  <c r="J32" i="4"/>
  <c r="I32" i="4"/>
  <c r="H32" i="4"/>
  <c r="G32" i="4"/>
  <c r="F32" i="4"/>
  <c r="L31" i="4"/>
  <c r="K31" i="4"/>
  <c r="J31" i="4"/>
  <c r="I31" i="4"/>
  <c r="H31" i="4"/>
  <c r="G31" i="4"/>
  <c r="F31" i="4"/>
  <c r="L30" i="4"/>
  <c r="K30" i="4"/>
  <c r="J30" i="4"/>
  <c r="I30" i="4"/>
  <c r="H30" i="4"/>
  <c r="G30" i="4"/>
  <c r="F30" i="4"/>
  <c r="L29" i="4"/>
  <c r="K29" i="4"/>
  <c r="J29" i="4"/>
  <c r="I29" i="4"/>
  <c r="H29" i="4"/>
  <c r="G29" i="4"/>
  <c r="F29" i="4"/>
  <c r="L28" i="4"/>
  <c r="K28" i="4"/>
  <c r="J28" i="4"/>
  <c r="I28" i="4"/>
  <c r="H28" i="4"/>
  <c r="G28" i="4"/>
  <c r="F28" i="4"/>
  <c r="L27" i="4"/>
  <c r="K27" i="4"/>
  <c r="J27" i="4"/>
  <c r="I27" i="4"/>
  <c r="H27" i="4"/>
  <c r="G27" i="4"/>
  <c r="F27" i="4"/>
  <c r="L26" i="4"/>
  <c r="K26" i="4"/>
  <c r="J26" i="4"/>
  <c r="I26" i="4"/>
  <c r="H26" i="4"/>
  <c r="G26" i="4"/>
  <c r="F26" i="4"/>
  <c r="L25" i="4"/>
  <c r="K25" i="4"/>
  <c r="J25" i="4"/>
  <c r="I25" i="4"/>
  <c r="H25" i="4"/>
  <c r="G25" i="4"/>
  <c r="F25" i="4"/>
  <c r="L24" i="4"/>
  <c r="K24" i="4"/>
  <c r="J24" i="4"/>
  <c r="I24" i="4"/>
  <c r="H24" i="4"/>
  <c r="G24" i="4"/>
  <c r="F24" i="4"/>
  <c r="L23" i="4"/>
  <c r="K23" i="4"/>
  <c r="J23" i="4"/>
  <c r="I23" i="4"/>
  <c r="H23" i="4"/>
  <c r="G23" i="4"/>
  <c r="F23" i="4"/>
  <c r="L22" i="4"/>
  <c r="K22" i="4"/>
  <c r="J22" i="4"/>
  <c r="I22" i="4"/>
  <c r="H22" i="4"/>
  <c r="G22" i="4"/>
  <c r="F22" i="4"/>
  <c r="L21" i="4"/>
  <c r="K21" i="4"/>
  <c r="J21" i="4"/>
  <c r="I21" i="4"/>
  <c r="H21" i="4"/>
  <c r="G21" i="4"/>
  <c r="F21" i="4"/>
  <c r="L20" i="4"/>
  <c r="K20" i="4"/>
  <c r="J20" i="4"/>
  <c r="I20" i="4"/>
  <c r="H20" i="4"/>
  <c r="G20" i="4"/>
  <c r="F20" i="4"/>
  <c r="L19" i="4"/>
  <c r="K19" i="4"/>
  <c r="J19" i="4"/>
  <c r="I19" i="4"/>
  <c r="H19" i="4"/>
  <c r="G19" i="4"/>
  <c r="F19" i="4"/>
  <c r="L18" i="4"/>
  <c r="K18" i="4"/>
  <c r="J18" i="4"/>
  <c r="I18" i="4"/>
  <c r="H18" i="4"/>
  <c r="G18" i="4"/>
  <c r="F18" i="4"/>
  <c r="L17" i="4"/>
  <c r="K17" i="4"/>
  <c r="J17" i="4"/>
  <c r="I17" i="4"/>
  <c r="H17" i="4"/>
  <c r="G17" i="4"/>
  <c r="F17" i="4"/>
  <c r="L16" i="4"/>
  <c r="K16" i="4"/>
  <c r="J16" i="4"/>
  <c r="I16" i="4"/>
  <c r="H16" i="4"/>
  <c r="G16" i="4"/>
  <c r="F16" i="4"/>
  <c r="L15" i="4"/>
  <c r="K15" i="4"/>
  <c r="J15" i="4"/>
  <c r="I15" i="4"/>
  <c r="H15" i="4"/>
  <c r="G15" i="4"/>
  <c r="F15" i="4"/>
  <c r="L14" i="4"/>
  <c r="K14" i="4"/>
  <c r="J14" i="4"/>
  <c r="I14" i="4"/>
  <c r="H14" i="4"/>
  <c r="G14" i="4"/>
  <c r="F14" i="4"/>
  <c r="L13" i="4"/>
  <c r="K13" i="4"/>
  <c r="J13" i="4"/>
  <c r="I13" i="4"/>
  <c r="H13" i="4"/>
  <c r="G13" i="4"/>
  <c r="F13" i="4"/>
  <c r="L12" i="4"/>
  <c r="K12" i="4"/>
  <c r="J12" i="4"/>
  <c r="I12" i="4"/>
  <c r="H12" i="4"/>
  <c r="G12" i="4"/>
  <c r="F12" i="4"/>
  <c r="L11" i="4"/>
  <c r="K11" i="4"/>
  <c r="J11" i="4"/>
  <c r="I11" i="4"/>
  <c r="H11" i="4"/>
  <c r="G11" i="4"/>
  <c r="F11" i="4"/>
  <c r="L10" i="4"/>
  <c r="K10" i="4"/>
  <c r="J10" i="4"/>
  <c r="I10" i="4"/>
  <c r="H10" i="4"/>
  <c r="G10" i="4"/>
  <c r="F10" i="4"/>
  <c r="L9" i="4"/>
  <c r="K9" i="4"/>
  <c r="J9" i="4"/>
  <c r="I9" i="4"/>
  <c r="H9" i="4"/>
  <c r="G9" i="4"/>
  <c r="F9" i="4"/>
  <c r="L8" i="4"/>
  <c r="K8" i="4"/>
  <c r="J8" i="4"/>
  <c r="I8" i="4"/>
  <c r="H8" i="4"/>
  <c r="G8" i="4"/>
  <c r="F8" i="4"/>
  <c r="L7" i="4"/>
  <c r="K7" i="4"/>
  <c r="J7" i="4"/>
  <c r="I7" i="4"/>
  <c r="H7" i="4"/>
  <c r="G7" i="4"/>
  <c r="F7" i="4"/>
  <c r="L6" i="4"/>
  <c r="K6" i="4"/>
  <c r="J6" i="4"/>
  <c r="I6" i="4"/>
  <c r="H6" i="4"/>
  <c r="G6" i="4"/>
  <c r="F6" i="4"/>
  <c r="L5" i="4"/>
  <c r="K5" i="4"/>
  <c r="J5" i="4"/>
  <c r="I5" i="4"/>
  <c r="H5" i="4"/>
  <c r="G5" i="4"/>
  <c r="F5" i="4"/>
  <c r="L4" i="4"/>
  <c r="I4" i="4"/>
  <c r="H4" i="4"/>
  <c r="L3" i="4"/>
  <c r="K3" i="4"/>
  <c r="J3" i="4"/>
  <c r="I3" i="4"/>
  <c r="H3" i="4"/>
  <c r="G4" i="4"/>
  <c r="G3" i="4"/>
  <c r="F4" i="4"/>
  <c r="F3" i="4"/>
  <c r="M42" i="3"/>
  <c r="P42" i="3" s="1"/>
  <c r="M41" i="3"/>
  <c r="P41" i="3" s="1"/>
  <c r="P38" i="3"/>
  <c r="P37" i="3"/>
  <c r="P48" i="3"/>
  <c r="P47" i="3"/>
  <c r="P28" i="3"/>
  <c r="M50" i="3"/>
  <c r="P50" i="3" s="1"/>
  <c r="M49" i="3"/>
  <c r="P49" i="3" s="1"/>
  <c r="M48" i="3"/>
  <c r="M47" i="3"/>
  <c r="M46" i="3"/>
  <c r="P46" i="3" s="1"/>
  <c r="M45" i="3"/>
  <c r="P45" i="3" s="1"/>
  <c r="M44" i="3"/>
  <c r="P44" i="3" s="1"/>
  <c r="M43" i="3"/>
  <c r="P43" i="3" s="1"/>
  <c r="M38" i="3"/>
  <c r="M37" i="3"/>
  <c r="M30" i="3"/>
  <c r="M29" i="3"/>
  <c r="M28" i="3"/>
  <c r="M27" i="3"/>
  <c r="P27" i="3" s="1"/>
  <c r="M26" i="3"/>
  <c r="P26" i="3" s="1"/>
  <c r="M25" i="3"/>
  <c r="P25" i="3" s="1"/>
  <c r="M24" i="3"/>
  <c r="P24" i="3" s="1"/>
  <c r="M23" i="3"/>
  <c r="P23" i="3" s="1"/>
  <c r="M39" i="2"/>
  <c r="P39" i="2" s="1"/>
  <c r="M40" i="2"/>
  <c r="P40" i="2" s="1"/>
  <c r="M40" i="3"/>
  <c r="P40" i="3" s="1"/>
  <c r="M39" i="3"/>
  <c r="P39" i="3" s="1"/>
  <c r="M36" i="3"/>
  <c r="P36" i="3" s="1"/>
  <c r="M35" i="3"/>
  <c r="P35" i="3" s="1"/>
  <c r="M34" i="3"/>
  <c r="P34" i="3" s="1"/>
  <c r="M33" i="3"/>
  <c r="P33" i="3" s="1"/>
  <c r="M32" i="3"/>
  <c r="P32" i="3" s="1"/>
  <c r="M31" i="3"/>
  <c r="P31" i="3" s="1"/>
  <c r="P30" i="3"/>
  <c r="P29" i="3"/>
  <c r="M22" i="3"/>
  <c r="P22" i="3" s="1"/>
  <c r="M21" i="3"/>
  <c r="P21" i="3" s="1"/>
  <c r="M20" i="3"/>
  <c r="P20" i="3" s="1"/>
  <c r="M19" i="3"/>
  <c r="P19" i="3" s="1"/>
  <c r="M18" i="3"/>
  <c r="P18" i="3" s="1"/>
  <c r="M17" i="3"/>
  <c r="P17" i="3" s="1"/>
  <c r="M16" i="3"/>
  <c r="P16" i="3" s="1"/>
  <c r="M15" i="3"/>
  <c r="P15" i="3" s="1"/>
  <c r="M14" i="3"/>
  <c r="P14" i="3" s="1"/>
  <c r="M13" i="3"/>
  <c r="P13" i="3" s="1"/>
  <c r="M12" i="3"/>
  <c r="P12" i="3" s="1"/>
  <c r="M11" i="3"/>
  <c r="P11" i="3" s="1"/>
  <c r="M10" i="3"/>
  <c r="P10" i="3" s="1"/>
  <c r="M9" i="3"/>
  <c r="P9" i="3" s="1"/>
  <c r="M8" i="3"/>
  <c r="P8" i="3" s="1"/>
  <c r="M7" i="3"/>
  <c r="P7" i="3" s="1"/>
  <c r="M6" i="3"/>
  <c r="P6" i="3" s="1"/>
  <c r="M5" i="3"/>
  <c r="P5" i="3" s="1"/>
  <c r="M4" i="3"/>
  <c r="P4" i="3" s="1"/>
  <c r="M3" i="3"/>
  <c r="P3" i="3" s="1"/>
  <c r="M46" i="2"/>
  <c r="P46" i="2" s="1"/>
  <c r="M45" i="2"/>
  <c r="P45" i="2" s="1"/>
  <c r="M44" i="2"/>
  <c r="P44" i="2" s="1"/>
  <c r="M38" i="2"/>
  <c r="P38" i="2" s="1"/>
  <c r="M37" i="2"/>
  <c r="P37" i="2" s="1"/>
  <c r="M36" i="2"/>
  <c r="P36" i="2" s="1"/>
  <c r="M33" i="2"/>
  <c r="P33" i="2" s="1"/>
  <c r="M31" i="2"/>
  <c r="P31" i="2" s="1"/>
  <c r="M30" i="2"/>
  <c r="P30" i="2" s="1"/>
  <c r="M29" i="2"/>
  <c r="P29" i="2" s="1"/>
  <c r="M28" i="2"/>
  <c r="P28" i="2" s="1"/>
  <c r="M23" i="2"/>
  <c r="P23" i="2" s="1"/>
  <c r="M22" i="2"/>
  <c r="P22" i="2" s="1"/>
  <c r="M21" i="2"/>
  <c r="P21" i="2" s="1"/>
  <c r="M20" i="2"/>
  <c r="P20" i="2" s="1"/>
  <c r="M14" i="2"/>
  <c r="P14" i="2" s="1"/>
  <c r="M13" i="2"/>
  <c r="P13" i="2" s="1"/>
  <c r="M12" i="2"/>
  <c r="P12" i="2" s="1"/>
  <c r="M6" i="2"/>
  <c r="P6" i="2" s="1"/>
  <c r="M5" i="2"/>
  <c r="P5" i="2" s="1"/>
  <c r="M4" i="2"/>
  <c r="P4" i="2" s="1"/>
  <c r="M4" i="4" l="1"/>
  <c r="P4" i="4" s="1"/>
  <c r="M3" i="4"/>
  <c r="P3" i="4" s="1"/>
  <c r="M42" i="4"/>
  <c r="P42" i="4" s="1"/>
  <c r="M50" i="4"/>
  <c r="P50" i="4" s="1"/>
  <c r="M48" i="4"/>
  <c r="P48" i="4" s="1"/>
  <c r="M41" i="4"/>
  <c r="P41" i="4" s="1"/>
  <c r="M49" i="4"/>
  <c r="P49" i="4" s="1"/>
  <c r="M43" i="4"/>
  <c r="P43" i="4" s="1"/>
  <c r="M36" i="4"/>
  <c r="P36" i="4" s="1"/>
  <c r="M37" i="4"/>
  <c r="P37" i="4" s="1"/>
  <c r="M45" i="4"/>
  <c r="P45" i="4" s="1"/>
  <c r="M44" i="4"/>
  <c r="P44" i="4" s="1"/>
  <c r="M46" i="4"/>
  <c r="P46" i="4" s="1"/>
  <c r="M47" i="4"/>
  <c r="P47" i="4" s="1"/>
  <c r="M40" i="4"/>
  <c r="P40" i="4" s="1"/>
  <c r="M39" i="4"/>
  <c r="P39" i="4" s="1"/>
  <c r="M38" i="4"/>
  <c r="P38" i="4" s="1"/>
  <c r="M31" i="4"/>
  <c r="P31" i="4" s="1"/>
  <c r="M32" i="4"/>
  <c r="P32" i="4" s="1"/>
  <c r="M34" i="4"/>
  <c r="P34" i="4" s="1"/>
  <c r="M33" i="4"/>
  <c r="P33" i="4" s="1"/>
  <c r="M35" i="4"/>
  <c r="P35" i="4" s="1"/>
  <c r="M18" i="4"/>
  <c r="P18" i="4" s="1"/>
  <c r="M22" i="4"/>
  <c r="P22" i="4" s="1"/>
  <c r="M26" i="4"/>
  <c r="P26" i="4" s="1"/>
  <c r="M30" i="4"/>
  <c r="P30" i="4" s="1"/>
  <c r="M6" i="4"/>
  <c r="P6" i="4" s="1"/>
  <c r="M10" i="4"/>
  <c r="P10" i="4" s="1"/>
  <c r="M14" i="4"/>
  <c r="P14" i="4" s="1"/>
  <c r="M19" i="4"/>
  <c r="P19" i="4" s="1"/>
  <c r="M21" i="4"/>
  <c r="P21" i="4" s="1"/>
  <c r="M25" i="4"/>
  <c r="P25" i="4" s="1"/>
  <c r="M29" i="4"/>
  <c r="P29" i="4" s="1"/>
  <c r="M13" i="4"/>
  <c r="P13" i="4" s="1"/>
  <c r="M17" i="4"/>
  <c r="P17" i="4" s="1"/>
  <c r="M7" i="4"/>
  <c r="P7" i="4" s="1"/>
  <c r="M11" i="4"/>
  <c r="P11" i="4" s="1"/>
  <c r="M15" i="4"/>
  <c r="P15" i="4" s="1"/>
  <c r="M8" i="4"/>
  <c r="P8" i="4" s="1"/>
  <c r="M12" i="4"/>
  <c r="P12" i="4" s="1"/>
  <c r="M16" i="4"/>
  <c r="P16" i="4" s="1"/>
  <c r="M23" i="4"/>
  <c r="P23" i="4" s="1"/>
  <c r="M27" i="4"/>
  <c r="P27" i="4" s="1"/>
  <c r="M9" i="4"/>
  <c r="P9" i="4" s="1"/>
  <c r="M5" i="4"/>
  <c r="P5" i="4" s="1"/>
  <c r="M20" i="4"/>
  <c r="P20" i="4" s="1"/>
  <c r="M24" i="4"/>
  <c r="P24" i="4" s="1"/>
  <c r="M28" i="4"/>
  <c r="P28" i="4" s="1"/>
</calcChain>
</file>

<file path=xl/sharedStrings.xml><?xml version="1.0" encoding="utf-8"?>
<sst xmlns="http://schemas.openxmlformats.org/spreadsheetml/2006/main" count="457" uniqueCount="45">
  <si>
    <t>Weekly Charging Infrastructure Check</t>
  </si>
  <si>
    <t>Week</t>
  </si>
  <si>
    <t>Building</t>
  </si>
  <si>
    <t>11kW ports</t>
  </si>
  <si>
    <t>30kW ports</t>
  </si>
  <si>
    <t>Week 1 (1/10)</t>
  </si>
  <si>
    <t>C</t>
  </si>
  <si>
    <t>Week 2 (6/10)</t>
  </si>
  <si>
    <t>Week 3 (13/10)</t>
  </si>
  <si>
    <t>Week 4 (20/10)</t>
  </si>
  <si>
    <t>Week 5 (27/10)</t>
  </si>
  <si>
    <t>J</t>
  </si>
  <si>
    <r>
      <rPr>
        <b/>
        <sz val="18"/>
        <color rgb="FFFF0000"/>
        <rFont val="Arial"/>
        <family val="2"/>
      </rPr>
      <t>Building_C</t>
    </r>
    <r>
      <rPr>
        <b/>
        <sz val="18"/>
        <color theme="1"/>
        <rFont val="Arial"/>
        <family val="2"/>
      </rPr>
      <t xml:space="preserve"> - Daily Vehicles Observation</t>
    </r>
  </si>
  <si>
    <t>Date</t>
  </si>
  <si>
    <t>Weekday</t>
  </si>
  <si>
    <t>Time</t>
  </si>
  <si>
    <t>VF9</t>
  </si>
  <si>
    <t>VF8</t>
  </si>
  <si>
    <t>VFe34</t>
  </si>
  <si>
    <t>VF5</t>
  </si>
  <si>
    <t>VF3</t>
  </si>
  <si>
    <t>VF6</t>
  </si>
  <si>
    <t>VF7</t>
  </si>
  <si>
    <t>Total EV cars</t>
  </si>
  <si>
    <t>Gasoline cars</t>
  </si>
  <si>
    <t>Gasoline cars parked in active CP slot</t>
  </si>
  <si>
    <t>Total cars</t>
  </si>
  <si>
    <t>W1</t>
  </si>
  <si>
    <t>Wed</t>
  </si>
  <si>
    <t>09:00–10:00</t>
  </si>
  <si>
    <t>14:00–15:00</t>
  </si>
  <si>
    <t>Thu</t>
  </si>
  <si>
    <t>Fri</t>
  </si>
  <si>
    <t>Sat</t>
  </si>
  <si>
    <t>Sun</t>
  </si>
  <si>
    <t>W2</t>
  </si>
  <si>
    <t>Mon</t>
  </si>
  <si>
    <t>Tue</t>
  </si>
  <si>
    <t>W3</t>
  </si>
  <si>
    <t>W4</t>
  </si>
  <si>
    <r>
      <rPr>
        <b/>
        <sz val="18"/>
        <color rgb="FFFF0000"/>
        <rFont val="Arial"/>
        <family val="2"/>
      </rPr>
      <t>Building_J</t>
    </r>
    <r>
      <rPr>
        <b/>
        <sz val="18"/>
        <color theme="1"/>
        <rFont val="Arial"/>
        <family val="2"/>
      </rPr>
      <t xml:space="preserve"> - Daily Vehicles Observation</t>
    </r>
  </si>
  <si>
    <t>Total active charging ports</t>
  </si>
  <si>
    <t>Testing</t>
  </si>
  <si>
    <r>
      <rPr>
        <b/>
        <sz val="18"/>
        <color rgb="FFFF0000"/>
        <rFont val="Arial"/>
        <family val="2"/>
      </rPr>
      <t>Building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rgb="FFFF0000"/>
        <rFont val="Arial"/>
        <family val="2"/>
      </rPr>
      <t xml:space="preserve">C&amp;J </t>
    </r>
    <r>
      <rPr>
        <b/>
        <sz val="18"/>
        <color theme="1"/>
        <rFont val="Arial"/>
        <family val="2"/>
      </rPr>
      <t>- Daily Vehicles Observation</t>
    </r>
  </si>
  <si>
    <t xml:space="preserve">C&amp;J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</si>
</sst>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4" fontId="6" fillId="2" borderId="17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4" fontId="6" fillId="0" borderId="19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6" fillId="4" borderId="17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4" fontId="6" fillId="4" borderId="18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zoomScale="135" workbookViewId="0">
      <selection activeCell="B19" sqref="B19"/>
    </sheetView>
  </sheetViews>
  <sheetFormatPr baseColWidth="10" defaultColWidth="12.6640625" defaultRowHeight="15.75" customHeight="1" x14ac:dyDescent="0.15"/>
  <cols>
    <col min="1" max="1" width="15" customWidth="1"/>
    <col min="3" max="3" width="26.83203125" style="15" customWidth="1"/>
  </cols>
  <sheetData>
    <row r="1" spans="1:6" ht="15.75" customHeight="1" x14ac:dyDescent="0.25">
      <c r="A1" s="85" t="s">
        <v>0</v>
      </c>
      <c r="B1" s="86"/>
      <c r="C1" s="86"/>
      <c r="D1" s="86"/>
      <c r="E1" s="86"/>
    </row>
    <row r="2" spans="1:6" ht="16" x14ac:dyDescent="0.2">
      <c r="A2" s="2" t="s">
        <v>1</v>
      </c>
      <c r="B2" s="2" t="s">
        <v>2</v>
      </c>
      <c r="C2" s="14" t="s">
        <v>41</v>
      </c>
      <c r="D2" s="2" t="s">
        <v>3</v>
      </c>
      <c r="E2" s="2" t="s">
        <v>4</v>
      </c>
      <c r="F2" s="3"/>
    </row>
    <row r="3" spans="1:6" ht="16" x14ac:dyDescent="0.2">
      <c r="A3" s="4" t="s">
        <v>5</v>
      </c>
      <c r="B3" s="5" t="s">
        <v>6</v>
      </c>
      <c r="C3" s="16">
        <v>29</v>
      </c>
      <c r="D3" s="17">
        <v>24</v>
      </c>
      <c r="E3" s="17">
        <v>5</v>
      </c>
      <c r="F3" s="3"/>
    </row>
    <row r="4" spans="1:6" ht="16" x14ac:dyDescent="0.2">
      <c r="A4" s="6" t="s">
        <v>7</v>
      </c>
      <c r="B4" s="7" t="s">
        <v>6</v>
      </c>
      <c r="C4" s="18">
        <v>29</v>
      </c>
      <c r="D4" s="19">
        <v>24</v>
      </c>
      <c r="E4" s="19">
        <v>5</v>
      </c>
      <c r="F4" s="3"/>
    </row>
    <row r="5" spans="1:6" ht="16" x14ac:dyDescent="0.2">
      <c r="A5" s="4" t="s">
        <v>8</v>
      </c>
      <c r="B5" s="5" t="s">
        <v>6</v>
      </c>
      <c r="C5" s="16">
        <v>29</v>
      </c>
      <c r="D5" s="17">
        <v>24</v>
      </c>
      <c r="E5" s="17">
        <v>5</v>
      </c>
      <c r="F5" s="3"/>
    </row>
    <row r="6" spans="1:6" ht="16" x14ac:dyDescent="0.2">
      <c r="A6" s="6" t="s">
        <v>9</v>
      </c>
      <c r="B6" s="7" t="s">
        <v>6</v>
      </c>
      <c r="C6" s="18">
        <v>29</v>
      </c>
      <c r="D6" s="19">
        <v>24</v>
      </c>
      <c r="E6" s="19">
        <v>5</v>
      </c>
    </row>
    <row r="7" spans="1:6" ht="16" x14ac:dyDescent="0.2">
      <c r="A7" s="4" t="s">
        <v>10</v>
      </c>
      <c r="B7" s="5" t="s">
        <v>6</v>
      </c>
      <c r="C7" s="16">
        <v>29</v>
      </c>
      <c r="D7" s="17">
        <v>24</v>
      </c>
      <c r="E7" s="17">
        <v>5</v>
      </c>
    </row>
    <row r="8" spans="1:6" ht="15.75" customHeight="1" x14ac:dyDescent="0.15">
      <c r="B8" s="8"/>
    </row>
    <row r="9" spans="1:6" ht="15.75" customHeight="1" x14ac:dyDescent="0.15">
      <c r="B9" s="8"/>
    </row>
    <row r="10" spans="1:6" ht="16" x14ac:dyDescent="0.2">
      <c r="A10" s="2" t="s">
        <v>1</v>
      </c>
      <c r="B10" s="2" t="s">
        <v>2</v>
      </c>
      <c r="C10" s="14" t="s">
        <v>41</v>
      </c>
      <c r="D10" s="2" t="s">
        <v>3</v>
      </c>
      <c r="E10" s="2" t="s">
        <v>4</v>
      </c>
      <c r="F10" s="3"/>
    </row>
    <row r="11" spans="1:6" ht="16" x14ac:dyDescent="0.2">
      <c r="A11" s="4" t="s">
        <v>5</v>
      </c>
      <c r="B11" s="5" t="s">
        <v>11</v>
      </c>
      <c r="C11" s="16">
        <v>27</v>
      </c>
      <c r="D11" s="17">
        <v>23</v>
      </c>
      <c r="E11" s="17">
        <v>4</v>
      </c>
      <c r="F11" s="3"/>
    </row>
    <row r="12" spans="1:6" ht="16" x14ac:dyDescent="0.2">
      <c r="A12" s="6" t="s">
        <v>7</v>
      </c>
      <c r="B12" s="7" t="s">
        <v>11</v>
      </c>
      <c r="C12" s="18">
        <v>27</v>
      </c>
      <c r="D12" s="19">
        <v>23</v>
      </c>
      <c r="E12" s="19">
        <v>4</v>
      </c>
      <c r="F12" s="3"/>
    </row>
    <row r="13" spans="1:6" ht="16" x14ac:dyDescent="0.2">
      <c r="A13" s="4" t="s">
        <v>8</v>
      </c>
      <c r="B13" s="5" t="s">
        <v>11</v>
      </c>
      <c r="C13" s="16">
        <v>27</v>
      </c>
      <c r="D13" s="17">
        <v>23</v>
      </c>
      <c r="E13" s="17">
        <v>4</v>
      </c>
      <c r="F13" s="3"/>
    </row>
    <row r="14" spans="1:6" ht="16" x14ac:dyDescent="0.2">
      <c r="A14" s="6" t="s">
        <v>9</v>
      </c>
      <c r="B14" s="7" t="s">
        <v>11</v>
      </c>
      <c r="C14" s="18">
        <v>27</v>
      </c>
      <c r="D14" s="19">
        <v>23</v>
      </c>
      <c r="E14" s="19">
        <v>4</v>
      </c>
    </row>
    <row r="15" spans="1:6" ht="16" x14ac:dyDescent="0.2">
      <c r="A15" s="4" t="s">
        <v>10</v>
      </c>
      <c r="B15" s="5" t="s">
        <v>11</v>
      </c>
      <c r="C15" s="16">
        <v>27</v>
      </c>
      <c r="D15" s="17">
        <v>23</v>
      </c>
      <c r="E15" s="17">
        <v>4</v>
      </c>
    </row>
    <row r="16" spans="1:6" ht="15.75" customHeight="1" x14ac:dyDescent="0.15">
      <c r="B16" s="8"/>
      <c r="C16" s="20"/>
      <c r="D16" s="21"/>
      <c r="E16" s="21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5.75" customHeight="1" x14ac:dyDescent="0.15">
      <c r="B48" s="8"/>
    </row>
    <row r="49" spans="2:2" ht="15.75" customHeight="1" x14ac:dyDescent="0.15">
      <c r="B49" s="8"/>
    </row>
    <row r="50" spans="2:2" ht="15.75" customHeight="1" x14ac:dyDescent="0.15">
      <c r="B50" s="8"/>
    </row>
    <row r="51" spans="2:2" ht="13" x14ac:dyDescent="0.15">
      <c r="B51" s="8"/>
    </row>
    <row r="52" spans="2:2" ht="13" x14ac:dyDescent="0.15">
      <c r="B52" s="8"/>
    </row>
    <row r="53" spans="2:2" ht="13" x14ac:dyDescent="0.15">
      <c r="B53" s="8"/>
    </row>
    <row r="54" spans="2:2" ht="13" x14ac:dyDescent="0.15">
      <c r="B54" s="8"/>
    </row>
    <row r="55" spans="2:2" ht="13" x14ac:dyDescent="0.15">
      <c r="B55" s="8"/>
    </row>
    <row r="56" spans="2:2" ht="13" x14ac:dyDescent="0.15">
      <c r="B56" s="8"/>
    </row>
    <row r="57" spans="2:2" ht="13" x14ac:dyDescent="0.15">
      <c r="B57" s="8"/>
    </row>
    <row r="58" spans="2:2" ht="13" x14ac:dyDescent="0.15">
      <c r="B58" s="8"/>
    </row>
    <row r="59" spans="2:2" ht="13" x14ac:dyDescent="0.15">
      <c r="B59" s="8"/>
    </row>
    <row r="60" spans="2:2" ht="13" x14ac:dyDescent="0.15">
      <c r="B60" s="8"/>
    </row>
    <row r="61" spans="2:2" ht="13" x14ac:dyDescent="0.15">
      <c r="B61" s="8"/>
    </row>
    <row r="62" spans="2:2" ht="13" x14ac:dyDescent="0.15">
      <c r="B62" s="8"/>
    </row>
    <row r="63" spans="2:2" ht="13" x14ac:dyDescent="0.15">
      <c r="B63" s="8"/>
    </row>
    <row r="64" spans="2:2" ht="13" x14ac:dyDescent="0.15">
      <c r="B64" s="8"/>
    </row>
    <row r="65" spans="2:2" ht="13" x14ac:dyDescent="0.15">
      <c r="B65" s="8"/>
    </row>
    <row r="66" spans="2:2" ht="13" x14ac:dyDescent="0.15">
      <c r="B66" s="8"/>
    </row>
    <row r="67" spans="2:2" ht="13" x14ac:dyDescent="0.15">
      <c r="B67" s="8"/>
    </row>
    <row r="68" spans="2:2" ht="13" x14ac:dyDescent="0.15">
      <c r="B68" s="8"/>
    </row>
    <row r="69" spans="2:2" ht="13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  <row r="95" spans="2:2" ht="13" x14ac:dyDescent="0.15">
      <c r="B95" s="8"/>
    </row>
    <row r="96" spans="2:2" ht="13" x14ac:dyDescent="0.15">
      <c r="B96" s="8"/>
    </row>
    <row r="97" spans="2:2" ht="13" x14ac:dyDescent="0.15">
      <c r="B97" s="8"/>
    </row>
    <row r="98" spans="2:2" ht="13" x14ac:dyDescent="0.15">
      <c r="B98" s="8"/>
    </row>
    <row r="99" spans="2:2" ht="13" x14ac:dyDescent="0.15">
      <c r="B99" s="8"/>
    </row>
    <row r="100" spans="2:2" ht="13" x14ac:dyDescent="0.15">
      <c r="B100" s="8"/>
    </row>
    <row r="101" spans="2:2" ht="13" x14ac:dyDescent="0.15">
      <c r="B101" s="8"/>
    </row>
    <row r="102" spans="2:2" ht="13" x14ac:dyDescent="0.15">
      <c r="B102" s="8"/>
    </row>
    <row r="103" spans="2:2" ht="13" x14ac:dyDescent="0.15">
      <c r="B103" s="8"/>
    </row>
    <row r="104" spans="2:2" ht="13" x14ac:dyDescent="0.15">
      <c r="B104" s="8"/>
    </row>
    <row r="105" spans="2:2" ht="13" x14ac:dyDescent="0.15">
      <c r="B105" s="8"/>
    </row>
    <row r="106" spans="2:2" ht="13" x14ac:dyDescent="0.15">
      <c r="B106" s="8"/>
    </row>
    <row r="107" spans="2:2" ht="13" x14ac:dyDescent="0.15">
      <c r="B107" s="8"/>
    </row>
    <row r="108" spans="2:2" ht="13" x14ac:dyDescent="0.15">
      <c r="B108" s="8"/>
    </row>
    <row r="109" spans="2:2" ht="13" x14ac:dyDescent="0.15">
      <c r="B109" s="8"/>
    </row>
    <row r="110" spans="2:2" ht="13" x14ac:dyDescent="0.15">
      <c r="B110" s="8"/>
    </row>
    <row r="111" spans="2:2" ht="13" x14ac:dyDescent="0.15">
      <c r="B111" s="8"/>
    </row>
    <row r="112" spans="2:2" ht="13" x14ac:dyDescent="0.15">
      <c r="B112" s="8"/>
    </row>
    <row r="113" spans="2:2" ht="13" x14ac:dyDescent="0.15">
      <c r="B113" s="8"/>
    </row>
    <row r="114" spans="2:2" ht="13" x14ac:dyDescent="0.15">
      <c r="B114" s="8"/>
    </row>
    <row r="115" spans="2:2" ht="13" x14ac:dyDescent="0.15">
      <c r="B115" s="8"/>
    </row>
    <row r="116" spans="2:2" ht="13" x14ac:dyDescent="0.15">
      <c r="B116" s="8"/>
    </row>
    <row r="117" spans="2:2" ht="13" x14ac:dyDescent="0.15">
      <c r="B117" s="8"/>
    </row>
    <row r="118" spans="2:2" ht="13" x14ac:dyDescent="0.15">
      <c r="B118" s="8"/>
    </row>
    <row r="119" spans="2:2" ht="13" x14ac:dyDescent="0.15">
      <c r="B119" s="8"/>
    </row>
    <row r="120" spans="2:2" ht="13" x14ac:dyDescent="0.15">
      <c r="B120" s="8"/>
    </row>
    <row r="121" spans="2:2" ht="13" x14ac:dyDescent="0.15">
      <c r="B121" s="8"/>
    </row>
    <row r="122" spans="2:2" ht="13" x14ac:dyDescent="0.15">
      <c r="B122" s="8"/>
    </row>
    <row r="123" spans="2:2" ht="13" x14ac:dyDescent="0.15">
      <c r="B123" s="8"/>
    </row>
    <row r="124" spans="2:2" ht="13" x14ac:dyDescent="0.15">
      <c r="B124" s="8"/>
    </row>
    <row r="125" spans="2:2" ht="13" x14ac:dyDescent="0.15">
      <c r="B125" s="8"/>
    </row>
    <row r="126" spans="2:2" ht="13" x14ac:dyDescent="0.15">
      <c r="B126" s="8"/>
    </row>
    <row r="127" spans="2:2" ht="13" x14ac:dyDescent="0.15">
      <c r="B127" s="8"/>
    </row>
    <row r="128" spans="2:2" ht="13" x14ac:dyDescent="0.15">
      <c r="B128" s="8"/>
    </row>
    <row r="129" spans="2:2" ht="13" x14ac:dyDescent="0.15">
      <c r="B129" s="8"/>
    </row>
    <row r="130" spans="2:2" ht="13" x14ac:dyDescent="0.15">
      <c r="B130" s="8"/>
    </row>
    <row r="131" spans="2:2" ht="13" x14ac:dyDescent="0.15">
      <c r="B131" s="8"/>
    </row>
    <row r="132" spans="2:2" ht="13" x14ac:dyDescent="0.15">
      <c r="B132" s="8"/>
    </row>
    <row r="133" spans="2:2" ht="13" x14ac:dyDescent="0.15">
      <c r="B133" s="8"/>
    </row>
    <row r="134" spans="2:2" ht="13" x14ac:dyDescent="0.15">
      <c r="B134" s="8"/>
    </row>
    <row r="135" spans="2:2" ht="13" x14ac:dyDescent="0.15">
      <c r="B135" s="8"/>
    </row>
    <row r="136" spans="2:2" ht="13" x14ac:dyDescent="0.15">
      <c r="B136" s="8"/>
    </row>
    <row r="137" spans="2:2" ht="13" x14ac:dyDescent="0.15">
      <c r="B137" s="8"/>
    </row>
    <row r="138" spans="2:2" ht="13" x14ac:dyDescent="0.15">
      <c r="B138" s="8"/>
    </row>
    <row r="139" spans="2:2" ht="13" x14ac:dyDescent="0.15">
      <c r="B139" s="8"/>
    </row>
    <row r="140" spans="2:2" ht="13" x14ac:dyDescent="0.15">
      <c r="B140" s="8"/>
    </row>
    <row r="141" spans="2:2" ht="13" x14ac:dyDescent="0.15">
      <c r="B141" s="8"/>
    </row>
    <row r="142" spans="2:2" ht="13" x14ac:dyDescent="0.15">
      <c r="B142" s="8"/>
    </row>
    <row r="143" spans="2:2" ht="13" x14ac:dyDescent="0.15">
      <c r="B143" s="8"/>
    </row>
    <row r="144" spans="2:2" ht="13" x14ac:dyDescent="0.15">
      <c r="B144" s="8"/>
    </row>
    <row r="145" spans="2:2" ht="13" x14ac:dyDescent="0.15">
      <c r="B145" s="8"/>
    </row>
    <row r="146" spans="2:2" ht="13" x14ac:dyDescent="0.15">
      <c r="B146" s="8"/>
    </row>
    <row r="147" spans="2:2" ht="13" x14ac:dyDescent="0.15">
      <c r="B147" s="8"/>
    </row>
    <row r="148" spans="2:2" ht="13" x14ac:dyDescent="0.15">
      <c r="B148" s="8"/>
    </row>
    <row r="149" spans="2:2" ht="13" x14ac:dyDescent="0.15">
      <c r="B149" s="8"/>
    </row>
    <row r="150" spans="2:2" ht="13" x14ac:dyDescent="0.15">
      <c r="B150" s="8"/>
    </row>
    <row r="151" spans="2:2" ht="13" x14ac:dyDescent="0.15">
      <c r="B151" s="8"/>
    </row>
    <row r="152" spans="2:2" ht="13" x14ac:dyDescent="0.15">
      <c r="B152" s="8"/>
    </row>
    <row r="153" spans="2:2" ht="13" x14ac:dyDescent="0.15">
      <c r="B153" s="8"/>
    </row>
    <row r="154" spans="2:2" ht="13" x14ac:dyDescent="0.15">
      <c r="B154" s="8"/>
    </row>
    <row r="155" spans="2:2" ht="13" x14ac:dyDescent="0.15">
      <c r="B155" s="8"/>
    </row>
    <row r="156" spans="2:2" ht="13" x14ac:dyDescent="0.15">
      <c r="B156" s="8"/>
    </row>
    <row r="157" spans="2:2" ht="13" x14ac:dyDescent="0.15">
      <c r="B157" s="8"/>
    </row>
    <row r="158" spans="2:2" ht="13" x14ac:dyDescent="0.15">
      <c r="B158" s="8"/>
    </row>
    <row r="159" spans="2:2" ht="13" x14ac:dyDescent="0.15">
      <c r="B159" s="8"/>
    </row>
    <row r="160" spans="2:2" ht="13" x14ac:dyDescent="0.15">
      <c r="B160" s="8"/>
    </row>
    <row r="161" spans="2:2" ht="13" x14ac:dyDescent="0.15">
      <c r="B161" s="8"/>
    </row>
    <row r="162" spans="2:2" ht="13" x14ac:dyDescent="0.15">
      <c r="B162" s="8"/>
    </row>
    <row r="163" spans="2:2" ht="13" x14ac:dyDescent="0.15">
      <c r="B163" s="8"/>
    </row>
    <row r="164" spans="2:2" ht="13" x14ac:dyDescent="0.15">
      <c r="B164" s="8"/>
    </row>
    <row r="165" spans="2:2" ht="13" x14ac:dyDescent="0.15">
      <c r="B165" s="8"/>
    </row>
    <row r="166" spans="2:2" ht="13" x14ac:dyDescent="0.15">
      <c r="B166" s="8"/>
    </row>
    <row r="167" spans="2:2" ht="13" x14ac:dyDescent="0.15">
      <c r="B167" s="8"/>
    </row>
    <row r="168" spans="2:2" ht="13" x14ac:dyDescent="0.15">
      <c r="B168" s="8"/>
    </row>
    <row r="169" spans="2:2" ht="13" x14ac:dyDescent="0.15">
      <c r="B169" s="8"/>
    </row>
    <row r="170" spans="2:2" ht="13" x14ac:dyDescent="0.15">
      <c r="B170" s="8"/>
    </row>
    <row r="171" spans="2:2" ht="13" x14ac:dyDescent="0.15">
      <c r="B171" s="8"/>
    </row>
    <row r="172" spans="2:2" ht="13" x14ac:dyDescent="0.15">
      <c r="B172" s="8"/>
    </row>
    <row r="173" spans="2:2" ht="13" x14ac:dyDescent="0.15">
      <c r="B173" s="8"/>
    </row>
    <row r="174" spans="2:2" ht="13" x14ac:dyDescent="0.15">
      <c r="B174" s="8"/>
    </row>
    <row r="175" spans="2:2" ht="13" x14ac:dyDescent="0.15">
      <c r="B175" s="8"/>
    </row>
    <row r="176" spans="2:2" ht="13" x14ac:dyDescent="0.15">
      <c r="B176" s="8"/>
    </row>
    <row r="177" spans="2:2" ht="13" x14ac:dyDescent="0.15">
      <c r="B177" s="8"/>
    </row>
    <row r="178" spans="2:2" ht="13" x14ac:dyDescent="0.15">
      <c r="B178" s="8"/>
    </row>
    <row r="179" spans="2:2" ht="13" x14ac:dyDescent="0.15">
      <c r="B179" s="8"/>
    </row>
    <row r="180" spans="2:2" ht="13" x14ac:dyDescent="0.15">
      <c r="B180" s="8"/>
    </row>
    <row r="181" spans="2:2" ht="13" x14ac:dyDescent="0.15">
      <c r="B181" s="8"/>
    </row>
    <row r="182" spans="2:2" ht="13" x14ac:dyDescent="0.15">
      <c r="B182" s="8"/>
    </row>
    <row r="183" spans="2:2" ht="13" x14ac:dyDescent="0.15">
      <c r="B183" s="8"/>
    </row>
    <row r="184" spans="2:2" ht="13" x14ac:dyDescent="0.15">
      <c r="B184" s="8"/>
    </row>
    <row r="185" spans="2:2" ht="13" x14ac:dyDescent="0.15">
      <c r="B185" s="8"/>
    </row>
    <row r="186" spans="2:2" ht="13" x14ac:dyDescent="0.15">
      <c r="B186" s="8"/>
    </row>
    <row r="187" spans="2:2" ht="13" x14ac:dyDescent="0.15">
      <c r="B187" s="8"/>
    </row>
    <row r="188" spans="2:2" ht="13" x14ac:dyDescent="0.15">
      <c r="B188" s="8"/>
    </row>
    <row r="189" spans="2:2" ht="13" x14ac:dyDescent="0.15">
      <c r="B189" s="8"/>
    </row>
    <row r="190" spans="2:2" ht="13" x14ac:dyDescent="0.15">
      <c r="B190" s="8"/>
    </row>
    <row r="191" spans="2:2" ht="13" x14ac:dyDescent="0.15">
      <c r="B191" s="8"/>
    </row>
    <row r="192" spans="2:2" ht="13" x14ac:dyDescent="0.15">
      <c r="B192" s="8"/>
    </row>
    <row r="193" spans="2:2" ht="13" x14ac:dyDescent="0.15">
      <c r="B193" s="8"/>
    </row>
    <row r="194" spans="2:2" ht="13" x14ac:dyDescent="0.15">
      <c r="B194" s="8"/>
    </row>
    <row r="195" spans="2:2" ht="13" x14ac:dyDescent="0.15">
      <c r="B195" s="8"/>
    </row>
    <row r="196" spans="2:2" ht="13" x14ac:dyDescent="0.15">
      <c r="B196" s="8"/>
    </row>
    <row r="197" spans="2:2" ht="13" x14ac:dyDescent="0.15">
      <c r="B197" s="8"/>
    </row>
    <row r="198" spans="2:2" ht="13" x14ac:dyDescent="0.15">
      <c r="B198" s="8"/>
    </row>
    <row r="199" spans="2:2" ht="13" x14ac:dyDescent="0.15">
      <c r="B199" s="8"/>
    </row>
    <row r="200" spans="2:2" ht="13" x14ac:dyDescent="0.15">
      <c r="B200" s="8"/>
    </row>
    <row r="201" spans="2:2" ht="13" x14ac:dyDescent="0.15">
      <c r="B201" s="8"/>
    </row>
    <row r="202" spans="2:2" ht="13" x14ac:dyDescent="0.15">
      <c r="B202" s="8"/>
    </row>
    <row r="203" spans="2:2" ht="13" x14ac:dyDescent="0.15">
      <c r="B203" s="8"/>
    </row>
    <row r="204" spans="2:2" ht="13" x14ac:dyDescent="0.15">
      <c r="B204" s="8"/>
    </row>
    <row r="205" spans="2:2" ht="13" x14ac:dyDescent="0.15">
      <c r="B205" s="8"/>
    </row>
    <row r="206" spans="2:2" ht="13" x14ac:dyDescent="0.15">
      <c r="B206" s="8"/>
    </row>
    <row r="207" spans="2:2" ht="13" x14ac:dyDescent="0.15">
      <c r="B207" s="8"/>
    </row>
    <row r="208" spans="2:2" ht="13" x14ac:dyDescent="0.15">
      <c r="B208" s="8"/>
    </row>
    <row r="209" spans="2:2" ht="13" x14ac:dyDescent="0.15">
      <c r="B209" s="8"/>
    </row>
    <row r="210" spans="2:2" ht="13" x14ac:dyDescent="0.15">
      <c r="B210" s="8"/>
    </row>
    <row r="211" spans="2:2" ht="13" x14ac:dyDescent="0.15">
      <c r="B211" s="8"/>
    </row>
    <row r="212" spans="2:2" ht="13" x14ac:dyDescent="0.15">
      <c r="B212" s="8"/>
    </row>
    <row r="213" spans="2:2" ht="13" x14ac:dyDescent="0.15">
      <c r="B213" s="8"/>
    </row>
    <row r="214" spans="2:2" ht="13" x14ac:dyDescent="0.15">
      <c r="B214" s="8"/>
    </row>
    <row r="215" spans="2:2" ht="13" x14ac:dyDescent="0.15">
      <c r="B215" s="8"/>
    </row>
    <row r="216" spans="2:2" ht="13" x14ac:dyDescent="0.15">
      <c r="B216" s="8"/>
    </row>
    <row r="217" spans="2:2" ht="13" x14ac:dyDescent="0.15">
      <c r="B217" s="8"/>
    </row>
    <row r="218" spans="2:2" ht="13" x14ac:dyDescent="0.15">
      <c r="B218" s="8"/>
    </row>
    <row r="219" spans="2:2" ht="13" x14ac:dyDescent="0.15">
      <c r="B219" s="8"/>
    </row>
    <row r="220" spans="2:2" ht="13" x14ac:dyDescent="0.15">
      <c r="B220" s="8"/>
    </row>
    <row r="221" spans="2:2" ht="13" x14ac:dyDescent="0.15">
      <c r="B221" s="8"/>
    </row>
    <row r="222" spans="2:2" ht="13" x14ac:dyDescent="0.15">
      <c r="B222" s="8"/>
    </row>
    <row r="223" spans="2:2" ht="13" x14ac:dyDescent="0.15">
      <c r="B223" s="8"/>
    </row>
    <row r="224" spans="2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6"/>
  <sheetViews>
    <sheetView tabSelected="1" zoomScale="110" workbookViewId="0">
      <selection activeCell="K7" sqref="K7"/>
    </sheetView>
  </sheetViews>
  <sheetFormatPr baseColWidth="10" defaultColWidth="12.6640625" defaultRowHeight="15.75" customHeight="1" x14ac:dyDescent="0.15"/>
  <cols>
    <col min="1" max="1" width="9.1640625" customWidth="1"/>
    <col min="2" max="2" width="14.5" customWidth="1"/>
    <col min="3" max="3" width="11.5" customWidth="1"/>
    <col min="4" max="4" width="12.33203125" customWidth="1"/>
    <col min="5" max="5" width="9" customWidth="1"/>
    <col min="6" max="6" width="5.33203125" customWidth="1"/>
    <col min="7" max="7" width="4.6640625" customWidth="1"/>
    <col min="8" max="8" width="6.83203125" customWidth="1"/>
    <col min="9" max="11" width="4.6640625" customWidth="1"/>
    <col min="12" max="12" width="9.5" customWidth="1"/>
    <col min="13" max="13" width="13.5" style="25" customWidth="1"/>
    <col min="14" max="14" width="14.1640625" style="25" customWidth="1"/>
    <col min="15" max="15" width="21.1640625" customWidth="1"/>
    <col min="16" max="16" width="10.1640625" style="25" customWidth="1"/>
  </cols>
  <sheetData>
    <row r="1" spans="1:27" ht="36" customHeight="1" thickBot="1" x14ac:dyDescent="0.3">
      <c r="A1" s="1"/>
      <c r="B1" s="85" t="s">
        <v>12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52" thickBot="1" x14ac:dyDescent="0.25">
      <c r="A2" s="78" t="s">
        <v>1</v>
      </c>
      <c r="B2" s="79" t="s">
        <v>13</v>
      </c>
      <c r="C2" s="80" t="s">
        <v>14</v>
      </c>
      <c r="D2" s="81" t="s">
        <v>15</v>
      </c>
      <c r="E2" s="26" t="s">
        <v>2</v>
      </c>
      <c r="F2" s="80" t="s">
        <v>16</v>
      </c>
      <c r="G2" s="80" t="s">
        <v>17</v>
      </c>
      <c r="H2" s="80" t="s">
        <v>18</v>
      </c>
      <c r="I2" s="80" t="s">
        <v>19</v>
      </c>
      <c r="J2" s="80" t="s">
        <v>20</v>
      </c>
      <c r="K2" s="80" t="s">
        <v>21</v>
      </c>
      <c r="L2" s="82" t="s">
        <v>22</v>
      </c>
      <c r="M2" s="81" t="s">
        <v>23</v>
      </c>
      <c r="N2" s="79" t="s">
        <v>24</v>
      </c>
      <c r="O2" s="83" t="s">
        <v>25</v>
      </c>
      <c r="P2" s="81" t="s">
        <v>26</v>
      </c>
      <c r="Q2" s="9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6" x14ac:dyDescent="0.2">
      <c r="A3" s="90" t="s">
        <v>42</v>
      </c>
      <c r="B3" s="35">
        <v>45932</v>
      </c>
      <c r="C3" s="10" t="s">
        <v>31</v>
      </c>
      <c r="D3" s="36" t="s">
        <v>29</v>
      </c>
      <c r="E3" s="45" t="s">
        <v>6</v>
      </c>
      <c r="F3" s="10">
        <v>7</v>
      </c>
      <c r="G3" s="10">
        <v>10</v>
      </c>
      <c r="H3" s="10">
        <v>1</v>
      </c>
      <c r="I3" s="10">
        <v>3</v>
      </c>
      <c r="J3" s="10">
        <v>3</v>
      </c>
      <c r="K3" s="10">
        <v>2</v>
      </c>
      <c r="L3" s="10"/>
      <c r="M3" s="27">
        <f t="shared" ref="M3:M50" si="0">SUM(F3:L3)</f>
        <v>26</v>
      </c>
      <c r="N3" s="50">
        <v>7</v>
      </c>
      <c r="O3" s="51">
        <v>1</v>
      </c>
      <c r="P3" s="27">
        <f t="shared" ref="P3:P48" si="1">M3+N3</f>
        <v>33</v>
      </c>
      <c r="Q3" s="9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7" thickBot="1" x14ac:dyDescent="0.25">
      <c r="A4" s="91"/>
      <c r="B4" s="37"/>
      <c r="C4" s="11"/>
      <c r="D4" s="38" t="s">
        <v>30</v>
      </c>
      <c r="E4" s="46" t="s">
        <v>6</v>
      </c>
      <c r="F4" s="11">
        <v>6</v>
      </c>
      <c r="G4" s="11">
        <v>5</v>
      </c>
      <c r="H4" s="11">
        <v>3</v>
      </c>
      <c r="I4" s="11">
        <v>2</v>
      </c>
      <c r="J4" s="11">
        <v>3</v>
      </c>
      <c r="K4" s="11">
        <v>3</v>
      </c>
      <c r="L4" s="11"/>
      <c r="M4" s="28">
        <f t="shared" si="0"/>
        <v>22</v>
      </c>
      <c r="N4" s="52">
        <v>12</v>
      </c>
      <c r="O4" s="53"/>
      <c r="P4" s="28">
        <f t="shared" si="1"/>
        <v>34</v>
      </c>
      <c r="Q4" s="9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6" x14ac:dyDescent="0.2">
      <c r="A5" s="91"/>
      <c r="B5" s="35">
        <v>45933</v>
      </c>
      <c r="C5" s="10" t="s">
        <v>32</v>
      </c>
      <c r="D5" s="36" t="s">
        <v>29</v>
      </c>
      <c r="E5" s="45" t="s">
        <v>6</v>
      </c>
      <c r="F5" s="10">
        <v>9</v>
      </c>
      <c r="G5" s="10">
        <v>18</v>
      </c>
      <c r="H5" s="10">
        <v>5</v>
      </c>
      <c r="I5" s="10">
        <v>4</v>
      </c>
      <c r="J5" s="10"/>
      <c r="K5" s="10">
        <v>3</v>
      </c>
      <c r="L5" s="10">
        <v>1</v>
      </c>
      <c r="M5" s="27">
        <f t="shared" si="0"/>
        <v>40</v>
      </c>
      <c r="N5" s="50">
        <v>21</v>
      </c>
      <c r="O5" s="51">
        <v>2</v>
      </c>
      <c r="P5" s="27">
        <f t="shared" si="1"/>
        <v>61</v>
      </c>
      <c r="Q5" s="9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7" thickBot="1" x14ac:dyDescent="0.25">
      <c r="A6" s="91"/>
      <c r="B6" s="37"/>
      <c r="C6" s="11"/>
      <c r="D6" s="38" t="s">
        <v>30</v>
      </c>
      <c r="E6" s="46" t="s">
        <v>6</v>
      </c>
      <c r="F6" s="11">
        <v>6</v>
      </c>
      <c r="G6" s="11">
        <v>10</v>
      </c>
      <c r="H6" s="11">
        <v>5</v>
      </c>
      <c r="I6" s="11">
        <v>1</v>
      </c>
      <c r="J6" s="11">
        <v>2</v>
      </c>
      <c r="K6" s="11">
        <v>4</v>
      </c>
      <c r="L6" s="11"/>
      <c r="M6" s="28">
        <f t="shared" si="0"/>
        <v>28</v>
      </c>
      <c r="N6" s="52">
        <v>18</v>
      </c>
      <c r="O6" s="53"/>
      <c r="P6" s="28">
        <f t="shared" si="1"/>
        <v>46</v>
      </c>
      <c r="Q6" s="9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" x14ac:dyDescent="0.2">
      <c r="A7" s="91"/>
      <c r="B7" s="64">
        <v>45934</v>
      </c>
      <c r="C7" s="65" t="s">
        <v>33</v>
      </c>
      <c r="D7" s="66" t="s">
        <v>29</v>
      </c>
      <c r="E7" s="67" t="s">
        <v>6</v>
      </c>
      <c r="F7" s="65">
        <v>2</v>
      </c>
      <c r="G7" s="65">
        <v>4</v>
      </c>
      <c r="H7" s="65">
        <v>1</v>
      </c>
      <c r="I7" s="65">
        <v>1</v>
      </c>
      <c r="J7" s="65">
        <v>2</v>
      </c>
      <c r="K7" s="65"/>
      <c r="L7" s="65">
        <v>1</v>
      </c>
      <c r="M7" s="68">
        <f t="shared" si="0"/>
        <v>11</v>
      </c>
      <c r="N7" s="69">
        <v>3</v>
      </c>
      <c r="O7" s="70">
        <v>1</v>
      </c>
      <c r="P7" s="68">
        <f t="shared" si="1"/>
        <v>14</v>
      </c>
      <c r="Q7" s="9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7" thickBot="1" x14ac:dyDescent="0.25">
      <c r="A8" s="91"/>
      <c r="B8" s="71"/>
      <c r="C8" s="72"/>
      <c r="D8" s="73" t="s">
        <v>30</v>
      </c>
      <c r="E8" s="74" t="s">
        <v>6</v>
      </c>
      <c r="F8" s="72">
        <v>1</v>
      </c>
      <c r="G8" s="72">
        <v>4</v>
      </c>
      <c r="H8" s="72">
        <v>1</v>
      </c>
      <c r="I8" s="72"/>
      <c r="J8" s="72">
        <v>1</v>
      </c>
      <c r="K8" s="72">
        <v>1</v>
      </c>
      <c r="L8" s="72">
        <v>1</v>
      </c>
      <c r="M8" s="75">
        <f t="shared" si="0"/>
        <v>9</v>
      </c>
      <c r="N8" s="76">
        <v>4</v>
      </c>
      <c r="O8" s="77"/>
      <c r="P8" s="75">
        <f t="shared" si="1"/>
        <v>13</v>
      </c>
      <c r="Q8" s="9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" x14ac:dyDescent="0.2">
      <c r="A9" s="91"/>
      <c r="B9" s="64">
        <v>45935</v>
      </c>
      <c r="C9" s="65" t="s">
        <v>34</v>
      </c>
      <c r="D9" s="66" t="s">
        <v>29</v>
      </c>
      <c r="E9" s="67" t="s">
        <v>6</v>
      </c>
      <c r="F9" s="65">
        <v>1</v>
      </c>
      <c r="G9" s="65">
        <v>3</v>
      </c>
      <c r="H9" s="65">
        <v>0</v>
      </c>
      <c r="I9" s="65"/>
      <c r="J9" s="65">
        <v>1</v>
      </c>
      <c r="K9" s="65"/>
      <c r="L9" s="65"/>
      <c r="M9" s="68">
        <f t="shared" si="0"/>
        <v>5</v>
      </c>
      <c r="N9" s="69">
        <v>2</v>
      </c>
      <c r="O9" s="70"/>
      <c r="P9" s="68">
        <f t="shared" si="1"/>
        <v>7</v>
      </c>
      <c r="Q9" s="9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7" thickBot="1" x14ac:dyDescent="0.25">
      <c r="A10" s="92"/>
      <c r="B10" s="71"/>
      <c r="C10" s="72"/>
      <c r="D10" s="73" t="s">
        <v>30</v>
      </c>
      <c r="E10" s="74" t="s">
        <v>6</v>
      </c>
      <c r="F10" s="72"/>
      <c r="G10" s="72">
        <v>2</v>
      </c>
      <c r="H10" s="72">
        <v>1</v>
      </c>
      <c r="I10" s="72"/>
      <c r="J10" s="72"/>
      <c r="K10" s="72"/>
      <c r="L10" s="72">
        <v>1</v>
      </c>
      <c r="M10" s="75">
        <f t="shared" si="0"/>
        <v>4</v>
      </c>
      <c r="N10" s="76">
        <v>1</v>
      </c>
      <c r="O10" s="77">
        <v>1</v>
      </c>
      <c r="P10" s="75">
        <f t="shared" si="1"/>
        <v>5</v>
      </c>
      <c r="Q10" s="9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" x14ac:dyDescent="0.2">
      <c r="A11" s="93" t="s">
        <v>27</v>
      </c>
      <c r="B11" s="39">
        <v>45936</v>
      </c>
      <c r="C11" s="12" t="s">
        <v>36</v>
      </c>
      <c r="D11" s="40" t="s">
        <v>29</v>
      </c>
      <c r="E11" s="47" t="s">
        <v>6</v>
      </c>
      <c r="F11" s="12">
        <v>6</v>
      </c>
      <c r="G11" s="12">
        <v>10</v>
      </c>
      <c r="H11" s="12">
        <v>3</v>
      </c>
      <c r="I11" s="12">
        <v>3</v>
      </c>
      <c r="J11" s="12"/>
      <c r="K11" s="12">
        <v>1</v>
      </c>
      <c r="L11" s="12">
        <v>2</v>
      </c>
      <c r="M11" s="29">
        <f t="shared" si="0"/>
        <v>25</v>
      </c>
      <c r="N11" s="54">
        <v>6</v>
      </c>
      <c r="O11" s="55"/>
      <c r="P11" s="29">
        <f t="shared" si="1"/>
        <v>31</v>
      </c>
      <c r="Q11" s="9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7" thickBot="1" x14ac:dyDescent="0.25">
      <c r="A12" s="88"/>
      <c r="B12" s="41"/>
      <c r="C12" s="13"/>
      <c r="D12" s="42" t="s">
        <v>30</v>
      </c>
      <c r="E12" s="48" t="s">
        <v>6</v>
      </c>
      <c r="F12" s="13">
        <v>7</v>
      </c>
      <c r="G12" s="13">
        <v>8</v>
      </c>
      <c r="H12" s="13">
        <v>2</v>
      </c>
      <c r="I12" s="13">
        <v>2</v>
      </c>
      <c r="J12" s="13">
        <v>2</v>
      </c>
      <c r="K12" s="13">
        <v>1</v>
      </c>
      <c r="L12" s="13">
        <v>2</v>
      </c>
      <c r="M12" s="30">
        <f t="shared" si="0"/>
        <v>24</v>
      </c>
      <c r="N12" s="56">
        <v>7</v>
      </c>
      <c r="O12" s="57">
        <v>1</v>
      </c>
      <c r="P12" s="30">
        <f t="shared" si="1"/>
        <v>31</v>
      </c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6" x14ac:dyDescent="0.2">
      <c r="A13" s="88"/>
      <c r="B13" s="39">
        <v>45937</v>
      </c>
      <c r="C13" s="12" t="s">
        <v>37</v>
      </c>
      <c r="D13" s="40" t="s">
        <v>29</v>
      </c>
      <c r="E13" s="47" t="s">
        <v>6</v>
      </c>
      <c r="F13" s="12">
        <v>6</v>
      </c>
      <c r="G13" s="12">
        <v>14</v>
      </c>
      <c r="H13" s="12">
        <v>5</v>
      </c>
      <c r="I13" s="12">
        <v>5</v>
      </c>
      <c r="J13" s="12">
        <v>1</v>
      </c>
      <c r="K13" s="12">
        <v>2</v>
      </c>
      <c r="L13" s="12">
        <v>1</v>
      </c>
      <c r="M13" s="29">
        <f t="shared" si="0"/>
        <v>34</v>
      </c>
      <c r="N13" s="54">
        <v>7</v>
      </c>
      <c r="O13" s="55"/>
      <c r="P13" s="29">
        <f t="shared" si="1"/>
        <v>41</v>
      </c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7" thickBot="1" x14ac:dyDescent="0.25">
      <c r="A14" s="88"/>
      <c r="B14" s="41"/>
      <c r="C14" s="13"/>
      <c r="D14" s="42" t="s">
        <v>30</v>
      </c>
      <c r="E14" s="48" t="s">
        <v>6</v>
      </c>
      <c r="F14" s="13">
        <v>7</v>
      </c>
      <c r="G14" s="13">
        <v>12</v>
      </c>
      <c r="H14" s="13">
        <v>7</v>
      </c>
      <c r="I14" s="13">
        <v>2</v>
      </c>
      <c r="J14" s="13"/>
      <c r="K14" s="13"/>
      <c r="L14" s="13">
        <v>1</v>
      </c>
      <c r="M14" s="30">
        <f t="shared" si="0"/>
        <v>29</v>
      </c>
      <c r="N14" s="56">
        <v>8</v>
      </c>
      <c r="O14" s="57"/>
      <c r="P14" s="30">
        <f t="shared" si="1"/>
        <v>37</v>
      </c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" x14ac:dyDescent="0.2">
      <c r="A15" s="88"/>
      <c r="B15" s="39">
        <v>45938</v>
      </c>
      <c r="C15" s="12" t="s">
        <v>28</v>
      </c>
      <c r="D15" s="40" t="s">
        <v>29</v>
      </c>
      <c r="E15" s="47" t="s">
        <v>6</v>
      </c>
      <c r="F15" s="12">
        <v>9</v>
      </c>
      <c r="G15" s="12">
        <v>18</v>
      </c>
      <c r="H15" s="12">
        <v>10</v>
      </c>
      <c r="I15" s="12">
        <v>2</v>
      </c>
      <c r="J15" s="12">
        <v>2</v>
      </c>
      <c r="K15" s="12">
        <v>1</v>
      </c>
      <c r="L15" s="12">
        <v>1</v>
      </c>
      <c r="M15" s="29">
        <f t="shared" si="0"/>
        <v>43</v>
      </c>
      <c r="N15" s="54">
        <v>18</v>
      </c>
      <c r="O15" s="55">
        <v>2</v>
      </c>
      <c r="P15" s="29">
        <f t="shared" si="1"/>
        <v>61</v>
      </c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7" thickBot="1" x14ac:dyDescent="0.25">
      <c r="A16" s="88"/>
      <c r="B16" s="41"/>
      <c r="C16" s="13"/>
      <c r="D16" s="42" t="s">
        <v>30</v>
      </c>
      <c r="E16" s="48" t="s">
        <v>6</v>
      </c>
      <c r="F16" s="13">
        <v>7</v>
      </c>
      <c r="G16" s="13">
        <v>15</v>
      </c>
      <c r="H16" s="13">
        <v>10</v>
      </c>
      <c r="I16" s="13">
        <v>2</v>
      </c>
      <c r="J16" s="13">
        <v>3</v>
      </c>
      <c r="K16" s="13">
        <v>1</v>
      </c>
      <c r="L16" s="13">
        <v>1</v>
      </c>
      <c r="M16" s="30">
        <f t="shared" si="0"/>
        <v>39</v>
      </c>
      <c r="N16" s="56">
        <v>12</v>
      </c>
      <c r="O16" s="57">
        <v>3</v>
      </c>
      <c r="P16" s="30">
        <f t="shared" si="1"/>
        <v>51</v>
      </c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6" x14ac:dyDescent="0.2">
      <c r="A17" s="88"/>
      <c r="B17" s="39">
        <v>45939</v>
      </c>
      <c r="C17" s="12" t="s">
        <v>31</v>
      </c>
      <c r="D17" s="40" t="s">
        <v>29</v>
      </c>
      <c r="E17" s="47" t="s">
        <v>6</v>
      </c>
      <c r="F17" s="12">
        <v>5</v>
      </c>
      <c r="G17" s="12">
        <v>17</v>
      </c>
      <c r="H17" s="12">
        <v>10</v>
      </c>
      <c r="I17" s="12">
        <v>4</v>
      </c>
      <c r="J17" s="12">
        <v>3</v>
      </c>
      <c r="K17" s="12">
        <v>3</v>
      </c>
      <c r="L17" s="12">
        <v>2</v>
      </c>
      <c r="M17" s="29">
        <f t="shared" si="0"/>
        <v>44</v>
      </c>
      <c r="N17" s="54">
        <v>21</v>
      </c>
      <c r="O17" s="55">
        <v>9</v>
      </c>
      <c r="P17" s="29">
        <f t="shared" si="1"/>
        <v>65</v>
      </c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7" thickBot="1" x14ac:dyDescent="0.25">
      <c r="A18" s="88"/>
      <c r="B18" s="41"/>
      <c r="C18" s="13"/>
      <c r="D18" s="42" t="s">
        <v>30</v>
      </c>
      <c r="E18" s="48" t="s">
        <v>6</v>
      </c>
      <c r="F18" s="13">
        <v>7</v>
      </c>
      <c r="G18" s="13">
        <v>16</v>
      </c>
      <c r="H18" s="13">
        <v>7</v>
      </c>
      <c r="I18" s="13">
        <v>2</v>
      </c>
      <c r="J18" s="13">
        <v>1</v>
      </c>
      <c r="K18" s="13">
        <v>1</v>
      </c>
      <c r="L18" s="13">
        <v>1</v>
      </c>
      <c r="M18" s="30">
        <f t="shared" si="0"/>
        <v>35</v>
      </c>
      <c r="N18" s="56">
        <v>20</v>
      </c>
      <c r="O18" s="57">
        <v>5</v>
      </c>
      <c r="P18" s="30">
        <f t="shared" si="1"/>
        <v>55</v>
      </c>
      <c r="Q18" s="9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6" x14ac:dyDescent="0.2">
      <c r="A19" s="88"/>
      <c r="B19" s="39">
        <v>45940</v>
      </c>
      <c r="C19" s="12" t="s">
        <v>32</v>
      </c>
      <c r="D19" s="40" t="s">
        <v>29</v>
      </c>
      <c r="E19" s="47" t="s">
        <v>6</v>
      </c>
      <c r="F19" s="12">
        <v>6</v>
      </c>
      <c r="G19" s="12">
        <v>12</v>
      </c>
      <c r="H19" s="12">
        <v>16</v>
      </c>
      <c r="I19" s="12">
        <v>1</v>
      </c>
      <c r="J19" s="12">
        <v>2</v>
      </c>
      <c r="K19" s="12"/>
      <c r="L19" s="12">
        <v>2</v>
      </c>
      <c r="M19" s="29">
        <f t="shared" si="0"/>
        <v>39</v>
      </c>
      <c r="N19" s="54">
        <v>19</v>
      </c>
      <c r="O19" s="55">
        <v>3</v>
      </c>
      <c r="P19" s="29">
        <f t="shared" si="1"/>
        <v>58</v>
      </c>
      <c r="Q19" s="9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7" thickBot="1" x14ac:dyDescent="0.25">
      <c r="A20" s="88"/>
      <c r="B20" s="41"/>
      <c r="C20" s="13"/>
      <c r="D20" s="42" t="s">
        <v>30</v>
      </c>
      <c r="E20" s="48" t="s">
        <v>6</v>
      </c>
      <c r="F20" s="13">
        <v>7</v>
      </c>
      <c r="G20" s="13">
        <v>16</v>
      </c>
      <c r="H20" s="13">
        <v>18</v>
      </c>
      <c r="I20" s="13"/>
      <c r="J20" s="13">
        <v>2</v>
      </c>
      <c r="K20" s="13">
        <v>2</v>
      </c>
      <c r="L20" s="13">
        <v>1</v>
      </c>
      <c r="M20" s="30">
        <f t="shared" si="0"/>
        <v>46</v>
      </c>
      <c r="N20" s="56">
        <v>26</v>
      </c>
      <c r="O20" s="57">
        <v>9</v>
      </c>
      <c r="P20" s="30">
        <f t="shared" si="1"/>
        <v>72</v>
      </c>
      <c r="Q20" s="9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6" x14ac:dyDescent="0.2">
      <c r="A21" s="94" t="s">
        <v>35</v>
      </c>
      <c r="B21" s="35">
        <v>45943</v>
      </c>
      <c r="C21" s="10" t="s">
        <v>36</v>
      </c>
      <c r="D21" s="36" t="s">
        <v>29</v>
      </c>
      <c r="E21" s="45" t="s">
        <v>6</v>
      </c>
      <c r="F21" s="10">
        <v>5</v>
      </c>
      <c r="G21" s="10">
        <v>12</v>
      </c>
      <c r="H21" s="10">
        <v>3</v>
      </c>
      <c r="I21" s="10">
        <v>4</v>
      </c>
      <c r="J21" s="10">
        <v>2</v>
      </c>
      <c r="K21" s="10"/>
      <c r="L21" s="10">
        <v>2</v>
      </c>
      <c r="M21" s="27">
        <f t="shared" si="0"/>
        <v>28</v>
      </c>
      <c r="N21" s="50">
        <v>13</v>
      </c>
      <c r="O21" s="51">
        <v>2</v>
      </c>
      <c r="P21" s="27">
        <f t="shared" si="1"/>
        <v>41</v>
      </c>
      <c r="Q21" s="9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7" thickBot="1" x14ac:dyDescent="0.25">
      <c r="A22" s="88"/>
      <c r="B22" s="37"/>
      <c r="C22" s="11"/>
      <c r="D22" s="38" t="s">
        <v>30</v>
      </c>
      <c r="E22" s="46" t="s">
        <v>6</v>
      </c>
      <c r="F22" s="11">
        <v>7</v>
      </c>
      <c r="G22" s="11">
        <v>9</v>
      </c>
      <c r="H22" s="11">
        <v>2</v>
      </c>
      <c r="I22" s="11">
        <v>3</v>
      </c>
      <c r="J22" s="11"/>
      <c r="K22" s="11">
        <v>1</v>
      </c>
      <c r="L22" s="11">
        <v>2</v>
      </c>
      <c r="M22" s="28">
        <f t="shared" si="0"/>
        <v>24</v>
      </c>
      <c r="N22" s="52">
        <v>9</v>
      </c>
      <c r="O22" s="53"/>
      <c r="P22" s="28">
        <f t="shared" si="1"/>
        <v>33</v>
      </c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" x14ac:dyDescent="0.2">
      <c r="A23" s="88"/>
      <c r="B23" s="35">
        <v>45944</v>
      </c>
      <c r="C23" s="10" t="s">
        <v>37</v>
      </c>
      <c r="D23" s="36" t="s">
        <v>29</v>
      </c>
      <c r="E23" s="45" t="s">
        <v>6</v>
      </c>
      <c r="F23" s="10">
        <v>6</v>
      </c>
      <c r="G23" s="10">
        <v>14</v>
      </c>
      <c r="H23" s="10">
        <v>11</v>
      </c>
      <c r="I23" s="10">
        <v>3</v>
      </c>
      <c r="J23" s="10">
        <v>1</v>
      </c>
      <c r="K23" s="10">
        <v>3</v>
      </c>
      <c r="L23" s="10">
        <v>3</v>
      </c>
      <c r="M23" s="27">
        <f t="shared" si="0"/>
        <v>41</v>
      </c>
      <c r="N23" s="50">
        <v>25</v>
      </c>
      <c r="O23" s="51">
        <v>4</v>
      </c>
      <c r="P23" s="27">
        <f t="shared" si="1"/>
        <v>66</v>
      </c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7" thickBot="1" x14ac:dyDescent="0.25">
      <c r="A24" s="88"/>
      <c r="B24" s="37"/>
      <c r="C24" s="11"/>
      <c r="D24" s="38" t="s">
        <v>30</v>
      </c>
      <c r="E24" s="46" t="s">
        <v>6</v>
      </c>
      <c r="F24" s="11">
        <v>8</v>
      </c>
      <c r="G24" s="11">
        <v>14</v>
      </c>
      <c r="H24" s="11">
        <v>9</v>
      </c>
      <c r="I24" s="11">
        <v>2</v>
      </c>
      <c r="J24" s="11">
        <v>2</v>
      </c>
      <c r="K24" s="11">
        <v>4</v>
      </c>
      <c r="L24" s="11">
        <v>2</v>
      </c>
      <c r="M24" s="28">
        <f t="shared" si="0"/>
        <v>41</v>
      </c>
      <c r="N24" s="52">
        <v>24</v>
      </c>
      <c r="O24" s="53">
        <v>8</v>
      </c>
      <c r="P24" s="28">
        <f t="shared" si="1"/>
        <v>65</v>
      </c>
      <c r="Q24" s="9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6" x14ac:dyDescent="0.2">
      <c r="A25" s="88"/>
      <c r="B25" s="35">
        <v>45945</v>
      </c>
      <c r="C25" s="10" t="s">
        <v>28</v>
      </c>
      <c r="D25" s="36" t="s">
        <v>29</v>
      </c>
      <c r="E25" s="45" t="s">
        <v>6</v>
      </c>
      <c r="F25" s="10">
        <v>8</v>
      </c>
      <c r="G25" s="10">
        <v>15</v>
      </c>
      <c r="H25" s="10">
        <v>7</v>
      </c>
      <c r="I25" s="10"/>
      <c r="J25" s="10">
        <v>3</v>
      </c>
      <c r="K25" s="10"/>
      <c r="L25" s="10">
        <v>1</v>
      </c>
      <c r="M25" s="27">
        <f t="shared" si="0"/>
        <v>34</v>
      </c>
      <c r="N25" s="50">
        <v>22</v>
      </c>
      <c r="O25" s="51">
        <v>5</v>
      </c>
      <c r="P25" s="27">
        <f t="shared" si="1"/>
        <v>56</v>
      </c>
      <c r="Q25" s="9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7" thickBot="1" x14ac:dyDescent="0.25">
      <c r="A26" s="88"/>
      <c r="B26" s="37"/>
      <c r="C26" s="11"/>
      <c r="D26" s="38" t="s">
        <v>30</v>
      </c>
      <c r="E26" s="46" t="s">
        <v>6</v>
      </c>
      <c r="F26" s="11">
        <v>7</v>
      </c>
      <c r="G26" s="11">
        <v>16</v>
      </c>
      <c r="H26" s="11">
        <v>4</v>
      </c>
      <c r="I26" s="11">
        <v>2</v>
      </c>
      <c r="J26" s="11">
        <v>1</v>
      </c>
      <c r="K26" s="11">
        <v>2</v>
      </c>
      <c r="L26" s="11"/>
      <c r="M26" s="28">
        <f t="shared" si="0"/>
        <v>32</v>
      </c>
      <c r="N26" s="52">
        <v>21</v>
      </c>
      <c r="O26" s="53">
        <v>1</v>
      </c>
      <c r="P26" s="28">
        <f t="shared" si="1"/>
        <v>53</v>
      </c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6" x14ac:dyDescent="0.2">
      <c r="A27" s="88"/>
      <c r="B27" s="35">
        <v>45946</v>
      </c>
      <c r="C27" s="10" t="s">
        <v>31</v>
      </c>
      <c r="D27" s="36" t="s">
        <v>29</v>
      </c>
      <c r="E27" s="45" t="s">
        <v>6</v>
      </c>
      <c r="F27" s="10">
        <v>6</v>
      </c>
      <c r="G27" s="10">
        <v>17</v>
      </c>
      <c r="H27" s="10">
        <v>2</v>
      </c>
      <c r="I27" s="10">
        <v>4</v>
      </c>
      <c r="J27" s="10">
        <v>3</v>
      </c>
      <c r="K27" s="10">
        <v>4</v>
      </c>
      <c r="L27" s="10">
        <v>1</v>
      </c>
      <c r="M27" s="27">
        <f t="shared" si="0"/>
        <v>37</v>
      </c>
      <c r="N27" s="50">
        <v>21</v>
      </c>
      <c r="O27" s="51">
        <v>6</v>
      </c>
      <c r="P27" s="27">
        <f t="shared" si="1"/>
        <v>58</v>
      </c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7" thickBot="1" x14ac:dyDescent="0.25">
      <c r="A28" s="88"/>
      <c r="B28" s="37"/>
      <c r="C28" s="11"/>
      <c r="D28" s="38" t="s">
        <v>30</v>
      </c>
      <c r="E28" s="46" t="s">
        <v>6</v>
      </c>
      <c r="F28" s="11">
        <v>9</v>
      </c>
      <c r="G28" s="11">
        <v>19</v>
      </c>
      <c r="H28" s="11">
        <v>2</v>
      </c>
      <c r="I28" s="11">
        <v>2</v>
      </c>
      <c r="J28" s="11">
        <v>1</v>
      </c>
      <c r="K28" s="11">
        <v>3</v>
      </c>
      <c r="L28" s="11"/>
      <c r="M28" s="28">
        <f t="shared" si="0"/>
        <v>36</v>
      </c>
      <c r="N28" s="52">
        <v>20</v>
      </c>
      <c r="O28" s="53">
        <v>3</v>
      </c>
      <c r="P28" s="28">
        <f t="shared" si="1"/>
        <v>56</v>
      </c>
      <c r="Q28" s="9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6" x14ac:dyDescent="0.2">
      <c r="A29" s="88"/>
      <c r="B29" s="35">
        <v>45947</v>
      </c>
      <c r="C29" s="10" t="s">
        <v>32</v>
      </c>
      <c r="D29" s="36" t="s">
        <v>29</v>
      </c>
      <c r="E29" s="45" t="s">
        <v>6</v>
      </c>
      <c r="F29" s="10">
        <v>7</v>
      </c>
      <c r="G29" s="10">
        <v>10</v>
      </c>
      <c r="H29" s="10">
        <v>16</v>
      </c>
      <c r="I29" s="10">
        <v>1</v>
      </c>
      <c r="J29" s="10">
        <v>3</v>
      </c>
      <c r="K29" s="10">
        <v>3</v>
      </c>
      <c r="L29" s="10">
        <v>1</v>
      </c>
      <c r="M29" s="27">
        <f t="shared" si="0"/>
        <v>41</v>
      </c>
      <c r="N29" s="50">
        <v>18</v>
      </c>
      <c r="O29" s="51"/>
      <c r="P29" s="27">
        <f t="shared" si="1"/>
        <v>59</v>
      </c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7" thickBot="1" x14ac:dyDescent="0.25">
      <c r="A30" s="88"/>
      <c r="B30" s="37"/>
      <c r="C30" s="11"/>
      <c r="D30" s="38" t="s">
        <v>30</v>
      </c>
      <c r="E30" s="46" t="s">
        <v>6</v>
      </c>
      <c r="F30" s="11">
        <v>5</v>
      </c>
      <c r="G30" s="11">
        <v>14</v>
      </c>
      <c r="H30" s="11">
        <v>16</v>
      </c>
      <c r="I30" s="11"/>
      <c r="J30" s="11">
        <v>2</v>
      </c>
      <c r="K30" s="11"/>
      <c r="L30" s="11">
        <v>3</v>
      </c>
      <c r="M30" s="28">
        <f t="shared" si="0"/>
        <v>40</v>
      </c>
      <c r="N30" s="52">
        <v>24</v>
      </c>
      <c r="O30" s="53">
        <v>1</v>
      </c>
      <c r="P30" s="28">
        <f t="shared" si="1"/>
        <v>64</v>
      </c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6" x14ac:dyDescent="0.2">
      <c r="A31" s="93" t="s">
        <v>38</v>
      </c>
      <c r="B31" s="39">
        <v>45950</v>
      </c>
      <c r="C31" s="12" t="s">
        <v>36</v>
      </c>
      <c r="D31" s="40" t="s">
        <v>29</v>
      </c>
      <c r="E31" s="47" t="s">
        <v>6</v>
      </c>
      <c r="F31" s="22">
        <v>7</v>
      </c>
      <c r="G31" s="22">
        <v>12</v>
      </c>
      <c r="H31" s="22">
        <v>6</v>
      </c>
      <c r="I31" s="22">
        <v>5</v>
      </c>
      <c r="J31" s="22">
        <v>2</v>
      </c>
      <c r="K31" s="22">
        <v>1</v>
      </c>
      <c r="L31" s="22">
        <v>3</v>
      </c>
      <c r="M31" s="31">
        <f t="shared" si="0"/>
        <v>36</v>
      </c>
      <c r="N31" s="58">
        <v>15</v>
      </c>
      <c r="O31" s="59">
        <v>2</v>
      </c>
      <c r="P31" s="31">
        <f t="shared" si="1"/>
        <v>51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7" thickBot="1" x14ac:dyDescent="0.25">
      <c r="A32" s="88"/>
      <c r="B32" s="41"/>
      <c r="C32" s="13"/>
      <c r="D32" s="42" t="s">
        <v>30</v>
      </c>
      <c r="E32" s="48" t="s">
        <v>6</v>
      </c>
      <c r="F32" s="23">
        <v>6</v>
      </c>
      <c r="G32" s="23">
        <v>11</v>
      </c>
      <c r="H32" s="23">
        <v>3</v>
      </c>
      <c r="I32" s="23">
        <v>4</v>
      </c>
      <c r="J32" s="23">
        <v>2</v>
      </c>
      <c r="K32" s="23">
        <v>1</v>
      </c>
      <c r="L32" s="23">
        <v>2</v>
      </c>
      <c r="M32" s="32">
        <f t="shared" si="0"/>
        <v>29</v>
      </c>
      <c r="N32" s="60">
        <v>11</v>
      </c>
      <c r="O32" s="61"/>
      <c r="P32" s="32">
        <f t="shared" si="1"/>
        <v>40</v>
      </c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6" x14ac:dyDescent="0.2">
      <c r="A33" s="88"/>
      <c r="B33" s="39">
        <v>45951</v>
      </c>
      <c r="C33" s="12" t="s">
        <v>37</v>
      </c>
      <c r="D33" s="40" t="s">
        <v>29</v>
      </c>
      <c r="E33" s="47" t="s">
        <v>6</v>
      </c>
      <c r="F33" s="22">
        <v>6</v>
      </c>
      <c r="G33" s="22">
        <v>15</v>
      </c>
      <c r="H33" s="22">
        <v>4</v>
      </c>
      <c r="I33" s="22">
        <v>3</v>
      </c>
      <c r="J33" s="22">
        <v>4</v>
      </c>
      <c r="K33" s="22"/>
      <c r="L33" s="22">
        <v>1</v>
      </c>
      <c r="M33" s="31">
        <f t="shared" si="0"/>
        <v>33</v>
      </c>
      <c r="N33" s="58">
        <v>17</v>
      </c>
      <c r="O33" s="59">
        <v>1</v>
      </c>
      <c r="P33" s="31">
        <f t="shared" si="1"/>
        <v>50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7" thickBot="1" x14ac:dyDescent="0.25">
      <c r="A34" s="88"/>
      <c r="B34" s="41"/>
      <c r="C34" s="13"/>
      <c r="D34" s="42" t="s">
        <v>30</v>
      </c>
      <c r="E34" s="48" t="s">
        <v>6</v>
      </c>
      <c r="F34" s="23">
        <v>6</v>
      </c>
      <c r="G34" s="23">
        <v>16</v>
      </c>
      <c r="H34" s="23">
        <v>4</v>
      </c>
      <c r="I34" s="23">
        <v>3</v>
      </c>
      <c r="J34" s="23">
        <v>3</v>
      </c>
      <c r="K34" s="23">
        <v>1</v>
      </c>
      <c r="L34" s="23">
        <v>3</v>
      </c>
      <c r="M34" s="32">
        <f t="shared" si="0"/>
        <v>36</v>
      </c>
      <c r="N34" s="60">
        <v>19</v>
      </c>
      <c r="O34" s="61">
        <v>1</v>
      </c>
      <c r="P34" s="32">
        <f t="shared" si="1"/>
        <v>55</v>
      </c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6" x14ac:dyDescent="0.2">
      <c r="A35" s="88"/>
      <c r="B35" s="39">
        <v>45952</v>
      </c>
      <c r="C35" s="12" t="s">
        <v>28</v>
      </c>
      <c r="D35" s="40" t="s">
        <v>29</v>
      </c>
      <c r="E35" s="47" t="s">
        <v>6</v>
      </c>
      <c r="F35" s="22">
        <v>8</v>
      </c>
      <c r="G35" s="22">
        <v>15</v>
      </c>
      <c r="H35" s="22">
        <v>6</v>
      </c>
      <c r="I35" s="22">
        <v>2</v>
      </c>
      <c r="J35" s="22">
        <v>1</v>
      </c>
      <c r="K35" s="22">
        <v>2</v>
      </c>
      <c r="L35" s="22"/>
      <c r="M35" s="31">
        <f t="shared" si="0"/>
        <v>34</v>
      </c>
      <c r="N35" s="58">
        <v>25</v>
      </c>
      <c r="O35" s="59"/>
      <c r="P35" s="31">
        <f t="shared" si="1"/>
        <v>59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7" thickBot="1" x14ac:dyDescent="0.25">
      <c r="A36" s="88"/>
      <c r="B36" s="41"/>
      <c r="C36" s="13"/>
      <c r="D36" s="42" t="s">
        <v>30</v>
      </c>
      <c r="E36" s="48" t="s">
        <v>6</v>
      </c>
      <c r="F36" s="23">
        <v>5</v>
      </c>
      <c r="G36" s="23">
        <v>17</v>
      </c>
      <c r="H36" s="23">
        <v>5</v>
      </c>
      <c r="I36" s="23">
        <v>4</v>
      </c>
      <c r="J36" s="23"/>
      <c r="K36" s="23">
        <v>2</v>
      </c>
      <c r="L36" s="23">
        <v>1</v>
      </c>
      <c r="M36" s="32">
        <f t="shared" si="0"/>
        <v>34</v>
      </c>
      <c r="N36" s="60">
        <v>20</v>
      </c>
      <c r="O36" s="61"/>
      <c r="P36" s="32">
        <f t="shared" si="1"/>
        <v>54</v>
      </c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6" x14ac:dyDescent="0.2">
      <c r="A37" s="88"/>
      <c r="B37" s="39">
        <v>45953</v>
      </c>
      <c r="C37" s="12" t="s">
        <v>31</v>
      </c>
      <c r="D37" s="40" t="s">
        <v>29</v>
      </c>
      <c r="E37" s="47" t="s">
        <v>6</v>
      </c>
      <c r="F37" s="22">
        <v>5</v>
      </c>
      <c r="G37" s="22">
        <v>19</v>
      </c>
      <c r="H37" s="22">
        <v>2</v>
      </c>
      <c r="I37" s="22">
        <v>5</v>
      </c>
      <c r="J37" s="22">
        <v>3</v>
      </c>
      <c r="K37" s="22">
        <v>2</v>
      </c>
      <c r="L37" s="22">
        <v>1</v>
      </c>
      <c r="M37" s="31">
        <f t="shared" si="0"/>
        <v>37</v>
      </c>
      <c r="N37" s="58">
        <v>21</v>
      </c>
      <c r="O37" s="59">
        <v>7</v>
      </c>
      <c r="P37" s="31">
        <f t="shared" si="1"/>
        <v>58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7" thickBot="1" x14ac:dyDescent="0.25">
      <c r="A38" s="88"/>
      <c r="B38" s="41"/>
      <c r="C38" s="13"/>
      <c r="D38" s="42" t="s">
        <v>30</v>
      </c>
      <c r="E38" s="48" t="s">
        <v>6</v>
      </c>
      <c r="F38" s="23">
        <v>5</v>
      </c>
      <c r="G38" s="23">
        <v>18</v>
      </c>
      <c r="H38" s="23">
        <v>4</v>
      </c>
      <c r="I38" s="23">
        <v>4</v>
      </c>
      <c r="J38" s="23">
        <v>1</v>
      </c>
      <c r="K38" s="23">
        <v>3</v>
      </c>
      <c r="L38" s="23">
        <v>2</v>
      </c>
      <c r="M38" s="32">
        <f t="shared" si="0"/>
        <v>37</v>
      </c>
      <c r="N38" s="60">
        <v>20</v>
      </c>
      <c r="O38" s="61">
        <v>4</v>
      </c>
      <c r="P38" s="32">
        <f t="shared" si="1"/>
        <v>57</v>
      </c>
      <c r="Q38" s="9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6" x14ac:dyDescent="0.2">
      <c r="A39" s="88"/>
      <c r="B39" s="39">
        <v>45954</v>
      </c>
      <c r="C39" s="12" t="s">
        <v>32</v>
      </c>
      <c r="D39" s="40" t="s">
        <v>29</v>
      </c>
      <c r="E39" s="47" t="s">
        <v>6</v>
      </c>
      <c r="F39" s="22">
        <v>6</v>
      </c>
      <c r="G39" s="22">
        <v>12</v>
      </c>
      <c r="H39" s="22">
        <v>12</v>
      </c>
      <c r="I39" s="22">
        <v>4</v>
      </c>
      <c r="J39" s="22">
        <v>1</v>
      </c>
      <c r="K39" s="22">
        <v>2</v>
      </c>
      <c r="L39" s="22">
        <v>1</v>
      </c>
      <c r="M39" s="31">
        <f t="shared" si="0"/>
        <v>38</v>
      </c>
      <c r="N39" s="58">
        <v>3</v>
      </c>
      <c r="O39" s="59"/>
      <c r="P39" s="31">
        <f t="shared" si="1"/>
        <v>41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7" thickBot="1" x14ac:dyDescent="0.25">
      <c r="A40" s="88"/>
      <c r="B40" s="41"/>
      <c r="C40" s="13"/>
      <c r="D40" s="42" t="s">
        <v>30</v>
      </c>
      <c r="E40" s="48" t="s">
        <v>6</v>
      </c>
      <c r="F40" s="23">
        <v>4</v>
      </c>
      <c r="G40" s="23">
        <v>9</v>
      </c>
      <c r="H40" s="23">
        <v>10</v>
      </c>
      <c r="I40" s="23">
        <v>4</v>
      </c>
      <c r="J40" s="23"/>
      <c r="K40" s="23">
        <v>2</v>
      </c>
      <c r="L40" s="23">
        <v>3</v>
      </c>
      <c r="M40" s="32">
        <f t="shared" si="0"/>
        <v>32</v>
      </c>
      <c r="N40" s="60">
        <v>4</v>
      </c>
      <c r="O40" s="61"/>
      <c r="P40" s="32">
        <f t="shared" si="1"/>
        <v>36</v>
      </c>
      <c r="Q40" s="9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6" x14ac:dyDescent="0.2">
      <c r="A41" s="87" t="s">
        <v>39</v>
      </c>
      <c r="B41" s="35">
        <v>45957</v>
      </c>
      <c r="C41" s="10" t="s">
        <v>36</v>
      </c>
      <c r="D41" s="36" t="s">
        <v>29</v>
      </c>
      <c r="E41" s="45" t="s">
        <v>6</v>
      </c>
      <c r="F41" s="10">
        <v>7</v>
      </c>
      <c r="G41" s="10">
        <v>11</v>
      </c>
      <c r="H41" s="10">
        <v>6</v>
      </c>
      <c r="I41" s="10">
        <v>3</v>
      </c>
      <c r="J41" s="10">
        <v>4</v>
      </c>
      <c r="K41" s="10">
        <v>2</v>
      </c>
      <c r="L41" s="10">
        <v>2</v>
      </c>
      <c r="M41" s="27">
        <f t="shared" si="0"/>
        <v>35</v>
      </c>
      <c r="N41" s="50">
        <v>18</v>
      </c>
      <c r="O41" s="51">
        <v>2</v>
      </c>
      <c r="P41" s="27">
        <f t="shared" si="1"/>
        <v>53</v>
      </c>
      <c r="Q41" s="9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7" thickBot="1" x14ac:dyDescent="0.25">
      <c r="A42" s="88"/>
      <c r="B42" s="37"/>
      <c r="C42" s="11"/>
      <c r="D42" s="38" t="s">
        <v>30</v>
      </c>
      <c r="E42" s="46" t="s">
        <v>6</v>
      </c>
      <c r="F42" s="11">
        <v>6</v>
      </c>
      <c r="G42" s="11">
        <v>11</v>
      </c>
      <c r="H42" s="11">
        <v>2</v>
      </c>
      <c r="I42" s="11">
        <v>4</v>
      </c>
      <c r="J42" s="11">
        <v>1</v>
      </c>
      <c r="K42" s="11">
        <v>2</v>
      </c>
      <c r="L42" s="11">
        <v>1</v>
      </c>
      <c r="M42" s="28">
        <f t="shared" si="0"/>
        <v>27</v>
      </c>
      <c r="N42" s="52">
        <v>15</v>
      </c>
      <c r="O42" s="53">
        <v>1</v>
      </c>
      <c r="P42" s="28">
        <f t="shared" si="1"/>
        <v>42</v>
      </c>
      <c r="Q42" s="9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6" x14ac:dyDescent="0.2">
      <c r="A43" s="88"/>
      <c r="B43" s="35">
        <v>45958</v>
      </c>
      <c r="C43" s="10" t="s">
        <v>37</v>
      </c>
      <c r="D43" s="36" t="s">
        <v>29</v>
      </c>
      <c r="E43" s="45" t="s">
        <v>6</v>
      </c>
      <c r="F43" s="10">
        <v>7</v>
      </c>
      <c r="G43" s="10">
        <v>18</v>
      </c>
      <c r="H43" s="10">
        <v>9</v>
      </c>
      <c r="I43" s="10">
        <v>5</v>
      </c>
      <c r="J43" s="10">
        <v>3</v>
      </c>
      <c r="K43" s="10">
        <v>2</v>
      </c>
      <c r="L43" s="10">
        <v>2</v>
      </c>
      <c r="M43" s="27">
        <f t="shared" si="0"/>
        <v>46</v>
      </c>
      <c r="N43" s="50">
        <v>19</v>
      </c>
      <c r="O43" s="51"/>
      <c r="P43" s="27">
        <f t="shared" si="1"/>
        <v>65</v>
      </c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7" thickBot="1" x14ac:dyDescent="0.25">
      <c r="A44" s="88"/>
      <c r="B44" s="37"/>
      <c r="C44" s="11"/>
      <c r="D44" s="38" t="s">
        <v>30</v>
      </c>
      <c r="E44" s="46" t="s">
        <v>6</v>
      </c>
      <c r="F44" s="11">
        <v>5</v>
      </c>
      <c r="G44" s="11">
        <v>16</v>
      </c>
      <c r="H44" s="11">
        <v>10</v>
      </c>
      <c r="I44" s="11">
        <v>3</v>
      </c>
      <c r="J44" s="11">
        <v>1</v>
      </c>
      <c r="K44" s="11">
        <v>2</v>
      </c>
      <c r="L44" s="11">
        <v>3</v>
      </c>
      <c r="M44" s="28">
        <f t="shared" si="0"/>
        <v>40</v>
      </c>
      <c r="N44" s="52">
        <v>21</v>
      </c>
      <c r="O44" s="53">
        <v>1</v>
      </c>
      <c r="P44" s="28">
        <f t="shared" si="1"/>
        <v>61</v>
      </c>
      <c r="Q44" s="9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6" x14ac:dyDescent="0.2">
      <c r="A45" s="88"/>
      <c r="B45" s="35">
        <v>45959</v>
      </c>
      <c r="C45" s="10" t="s">
        <v>28</v>
      </c>
      <c r="D45" s="36" t="s">
        <v>29</v>
      </c>
      <c r="E45" s="45" t="s">
        <v>6</v>
      </c>
      <c r="F45" s="10">
        <v>5</v>
      </c>
      <c r="G45" s="10">
        <v>20</v>
      </c>
      <c r="H45" s="10">
        <v>6</v>
      </c>
      <c r="I45" s="10">
        <v>2</v>
      </c>
      <c r="J45" s="10">
        <v>4</v>
      </c>
      <c r="K45" s="10">
        <v>2</v>
      </c>
      <c r="L45" s="10">
        <v>3</v>
      </c>
      <c r="M45" s="27">
        <f t="shared" si="0"/>
        <v>42</v>
      </c>
      <c r="N45" s="50">
        <v>19</v>
      </c>
      <c r="O45" s="51">
        <v>2</v>
      </c>
      <c r="P45" s="27">
        <f t="shared" si="1"/>
        <v>61</v>
      </c>
      <c r="Q45" s="9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7" thickBot="1" x14ac:dyDescent="0.25">
      <c r="A46" s="88"/>
      <c r="B46" s="37"/>
      <c r="C46" s="11"/>
      <c r="D46" s="38" t="s">
        <v>30</v>
      </c>
      <c r="E46" s="46" t="s">
        <v>6</v>
      </c>
      <c r="F46" s="11">
        <v>3</v>
      </c>
      <c r="G46" s="11">
        <v>15</v>
      </c>
      <c r="H46" s="11">
        <v>4</v>
      </c>
      <c r="I46" s="11">
        <v>1</v>
      </c>
      <c r="J46" s="11">
        <v>5</v>
      </c>
      <c r="K46" s="11">
        <v>3</v>
      </c>
      <c r="L46" s="11">
        <v>2</v>
      </c>
      <c r="M46" s="28">
        <f t="shared" si="0"/>
        <v>33</v>
      </c>
      <c r="N46" s="52">
        <v>17</v>
      </c>
      <c r="O46" s="53">
        <v>2</v>
      </c>
      <c r="P46" s="28">
        <f t="shared" si="1"/>
        <v>50</v>
      </c>
      <c r="Q46" s="9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6" x14ac:dyDescent="0.2">
      <c r="A47" s="88"/>
      <c r="B47" s="35">
        <v>45960</v>
      </c>
      <c r="C47" s="10" t="s">
        <v>31</v>
      </c>
      <c r="D47" s="36" t="s">
        <v>29</v>
      </c>
      <c r="E47" s="45" t="s">
        <v>6</v>
      </c>
      <c r="F47" s="10">
        <v>5</v>
      </c>
      <c r="G47" s="10">
        <v>14</v>
      </c>
      <c r="H47" s="10">
        <v>10</v>
      </c>
      <c r="I47" s="10">
        <v>3</v>
      </c>
      <c r="J47" s="10">
        <v>3</v>
      </c>
      <c r="K47" s="10">
        <v>2</v>
      </c>
      <c r="L47" s="10">
        <v>2</v>
      </c>
      <c r="M47" s="27">
        <f t="shared" si="0"/>
        <v>39</v>
      </c>
      <c r="N47" s="50">
        <v>21</v>
      </c>
      <c r="O47" s="51">
        <v>9</v>
      </c>
      <c r="P47" s="27">
        <f t="shared" si="1"/>
        <v>60</v>
      </c>
      <c r="Q47" s="9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7" thickBot="1" x14ac:dyDescent="0.25">
      <c r="A48" s="88"/>
      <c r="B48" s="37"/>
      <c r="C48" s="11"/>
      <c r="D48" s="38" t="s">
        <v>30</v>
      </c>
      <c r="E48" s="46" t="s">
        <v>6</v>
      </c>
      <c r="F48" s="11">
        <v>7</v>
      </c>
      <c r="G48" s="11">
        <v>13</v>
      </c>
      <c r="H48" s="11">
        <v>8</v>
      </c>
      <c r="I48" s="11">
        <v>5</v>
      </c>
      <c r="J48" s="11">
        <v>1</v>
      </c>
      <c r="K48" s="11">
        <v>3</v>
      </c>
      <c r="L48" s="11">
        <v>1</v>
      </c>
      <c r="M48" s="28">
        <f t="shared" si="0"/>
        <v>38</v>
      </c>
      <c r="N48" s="52">
        <v>22</v>
      </c>
      <c r="O48" s="53">
        <v>6</v>
      </c>
      <c r="P48" s="28">
        <f t="shared" si="1"/>
        <v>60</v>
      </c>
      <c r="Q48" s="9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6" x14ac:dyDescent="0.2">
      <c r="A49" s="88"/>
      <c r="B49" s="35">
        <v>45961</v>
      </c>
      <c r="C49" s="10" t="s">
        <v>32</v>
      </c>
      <c r="D49" s="36" t="s">
        <v>29</v>
      </c>
      <c r="E49" s="45" t="s">
        <v>6</v>
      </c>
      <c r="F49" s="10">
        <v>12</v>
      </c>
      <c r="G49" s="10">
        <v>8</v>
      </c>
      <c r="H49" s="10">
        <v>13</v>
      </c>
      <c r="I49" s="10"/>
      <c r="J49" s="10">
        <v>3</v>
      </c>
      <c r="K49" s="10">
        <v>4</v>
      </c>
      <c r="L49" s="10">
        <v>2</v>
      </c>
      <c r="M49" s="27">
        <f t="shared" si="0"/>
        <v>42</v>
      </c>
      <c r="N49" s="50">
        <v>16</v>
      </c>
      <c r="O49" s="51">
        <v>1</v>
      </c>
      <c r="P49" s="27">
        <f t="shared" ref="P49:P50" si="2">M49+N49</f>
        <v>58</v>
      </c>
      <c r="Q49" s="9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7" thickBot="1" x14ac:dyDescent="0.25">
      <c r="A50" s="89"/>
      <c r="B50" s="43"/>
      <c r="C50" s="33"/>
      <c r="D50" s="44" t="s">
        <v>30</v>
      </c>
      <c r="E50" s="49" t="s">
        <v>6</v>
      </c>
      <c r="F50" s="11">
        <v>7</v>
      </c>
      <c r="G50" s="11">
        <v>16</v>
      </c>
      <c r="H50" s="11">
        <v>16</v>
      </c>
      <c r="I50" s="11">
        <v>2</v>
      </c>
      <c r="J50" s="11"/>
      <c r="K50" s="11">
        <v>3</v>
      </c>
      <c r="L50" s="11">
        <v>3</v>
      </c>
      <c r="M50" s="28">
        <f t="shared" si="0"/>
        <v>47</v>
      </c>
      <c r="N50" s="52">
        <v>21</v>
      </c>
      <c r="O50" s="53">
        <v>4</v>
      </c>
      <c r="P50" s="34">
        <f t="shared" si="2"/>
        <v>68</v>
      </c>
      <c r="Q50" s="9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24"/>
      <c r="N51" s="24"/>
      <c r="O51" s="8"/>
      <c r="P51" s="24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3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24"/>
      <c r="N52" s="24"/>
      <c r="O52" s="8"/>
      <c r="P52" s="24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24"/>
      <c r="N53" s="24"/>
      <c r="O53" s="8"/>
      <c r="P53" s="24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3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24"/>
      <c r="N54" s="24"/>
      <c r="O54" s="8"/>
      <c r="P54" s="24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24"/>
      <c r="N55" s="24"/>
      <c r="O55" s="8"/>
      <c r="P55" s="24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3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24"/>
      <c r="N56" s="24"/>
      <c r="O56" s="8"/>
      <c r="P56" s="24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24"/>
      <c r="N57" s="24"/>
      <c r="O57" s="8"/>
      <c r="P57" s="24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3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24"/>
      <c r="N58" s="24"/>
      <c r="O58" s="8"/>
      <c r="P58" s="24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24"/>
      <c r="N59" s="24"/>
      <c r="O59" s="8"/>
      <c r="P59" s="24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3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24"/>
      <c r="N60" s="24"/>
      <c r="O60" s="8"/>
      <c r="P60" s="24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24"/>
      <c r="N61" s="24"/>
      <c r="O61" s="8"/>
      <c r="P61" s="24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24"/>
      <c r="N62" s="24"/>
      <c r="O62" s="8"/>
      <c r="P62" s="24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24"/>
      <c r="N63" s="24"/>
      <c r="O63" s="8"/>
      <c r="P63" s="24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24"/>
      <c r="N64" s="24"/>
      <c r="O64" s="8"/>
      <c r="P64" s="24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24"/>
      <c r="N65" s="24"/>
      <c r="O65" s="8"/>
      <c r="P65" s="24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24"/>
      <c r="N66" s="24"/>
      <c r="O66" s="8"/>
      <c r="P66" s="24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24"/>
      <c r="N67" s="24"/>
      <c r="O67" s="8"/>
      <c r="P67" s="2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24"/>
      <c r="N68" s="24"/>
      <c r="O68" s="8"/>
      <c r="P68" s="24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24"/>
      <c r="N69" s="24"/>
      <c r="O69" s="8"/>
      <c r="P69" s="24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24"/>
      <c r="N70" s="24"/>
      <c r="O70" s="8"/>
      <c r="P70" s="24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24"/>
      <c r="N71" s="24"/>
      <c r="O71" s="8"/>
      <c r="P71" s="24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24"/>
      <c r="N72" s="24"/>
      <c r="O72" s="8"/>
      <c r="P72" s="24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24"/>
      <c r="N73" s="24"/>
      <c r="O73" s="8"/>
      <c r="P73" s="24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24"/>
      <c r="N74" s="24"/>
      <c r="O74" s="8"/>
      <c r="P74" s="24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24"/>
      <c r="N75" s="24"/>
      <c r="O75" s="8"/>
      <c r="P75" s="24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24"/>
      <c r="N76" s="24"/>
      <c r="O76" s="8"/>
      <c r="P76" s="24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24"/>
      <c r="N77" s="24"/>
      <c r="O77" s="8"/>
      <c r="P77" s="24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24"/>
      <c r="N78" s="24"/>
      <c r="O78" s="8"/>
      <c r="P78" s="24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24"/>
      <c r="N79" s="24"/>
      <c r="O79" s="8"/>
      <c r="P79" s="24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24"/>
      <c r="N80" s="24"/>
      <c r="O80" s="8"/>
      <c r="P80" s="24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24"/>
      <c r="N81" s="24"/>
      <c r="O81" s="8"/>
      <c r="P81" s="24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24"/>
      <c r="N82" s="24"/>
      <c r="O82" s="8"/>
      <c r="P82" s="24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24"/>
      <c r="N83" s="24"/>
      <c r="O83" s="8"/>
      <c r="P83" s="24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24"/>
      <c r="N84" s="24"/>
      <c r="O84" s="8"/>
      <c r="P84" s="24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24"/>
      <c r="N85" s="24"/>
      <c r="O85" s="8"/>
      <c r="P85" s="24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24"/>
      <c r="N86" s="24"/>
      <c r="O86" s="8"/>
      <c r="P86" s="24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4"/>
      <c r="N87" s="24"/>
      <c r="O87" s="8"/>
      <c r="P87" s="24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24"/>
      <c r="N88" s="24"/>
      <c r="O88" s="8"/>
      <c r="P88" s="24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24"/>
      <c r="N89" s="24"/>
      <c r="O89" s="8"/>
      <c r="P89" s="24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24"/>
      <c r="N90" s="24"/>
      <c r="O90" s="8"/>
      <c r="P90" s="24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24"/>
      <c r="N91" s="24"/>
      <c r="O91" s="8"/>
      <c r="P91" s="24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24"/>
      <c r="N92" s="24"/>
      <c r="O92" s="8"/>
      <c r="P92" s="24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24"/>
      <c r="N93" s="24"/>
      <c r="O93" s="8"/>
      <c r="P93" s="24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24"/>
      <c r="N94" s="24"/>
      <c r="O94" s="8"/>
      <c r="P94" s="24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24"/>
      <c r="N95" s="24"/>
      <c r="O95" s="8"/>
      <c r="P95" s="24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24"/>
      <c r="N96" s="24"/>
      <c r="O96" s="8"/>
      <c r="P96" s="24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24"/>
      <c r="N97" s="24"/>
      <c r="O97" s="8"/>
      <c r="P97" s="24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24"/>
      <c r="N98" s="24"/>
      <c r="O98" s="8"/>
      <c r="P98" s="24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24"/>
      <c r="N99" s="24"/>
      <c r="O99" s="8"/>
      <c r="P99" s="24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24"/>
      <c r="N100" s="24"/>
      <c r="O100" s="8"/>
      <c r="P100" s="24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24"/>
      <c r="N101" s="24"/>
      <c r="O101" s="8"/>
      <c r="P101" s="24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24"/>
      <c r="N102" s="24"/>
      <c r="O102" s="8"/>
      <c r="P102" s="24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24"/>
      <c r="N103" s="24"/>
      <c r="O103" s="8"/>
      <c r="P103" s="24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24"/>
      <c r="N104" s="24"/>
      <c r="O104" s="8"/>
      <c r="P104" s="24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24"/>
      <c r="N105" s="24"/>
      <c r="O105" s="8"/>
      <c r="P105" s="24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24"/>
      <c r="N106" s="24"/>
      <c r="O106" s="8"/>
      <c r="P106" s="24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24"/>
      <c r="N107" s="24"/>
      <c r="O107" s="8"/>
      <c r="P107" s="24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24"/>
      <c r="N108" s="24"/>
      <c r="O108" s="8"/>
      <c r="P108" s="24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24"/>
      <c r="N109" s="24"/>
      <c r="O109" s="8"/>
      <c r="P109" s="24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24"/>
      <c r="N110" s="24"/>
      <c r="O110" s="8"/>
      <c r="P110" s="24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24"/>
      <c r="N111" s="24"/>
      <c r="O111" s="8"/>
      <c r="P111" s="24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24"/>
      <c r="N112" s="24"/>
      <c r="O112" s="8"/>
      <c r="P112" s="24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24"/>
      <c r="N113" s="24"/>
      <c r="O113" s="8"/>
      <c r="P113" s="24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24"/>
      <c r="N114" s="24"/>
      <c r="O114" s="8"/>
      <c r="P114" s="24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24"/>
      <c r="N115" s="24"/>
      <c r="O115" s="8"/>
      <c r="P115" s="24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24"/>
      <c r="N116" s="24"/>
      <c r="O116" s="8"/>
      <c r="P116" s="24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24"/>
      <c r="N117" s="24"/>
      <c r="O117" s="8"/>
      <c r="P117" s="24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24"/>
      <c r="N118" s="24"/>
      <c r="O118" s="8"/>
      <c r="P118" s="24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24"/>
      <c r="N119" s="24"/>
      <c r="O119" s="8"/>
      <c r="P119" s="24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24"/>
      <c r="N120" s="24"/>
      <c r="O120" s="8"/>
      <c r="P120" s="24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24"/>
      <c r="N121" s="24"/>
      <c r="O121" s="8"/>
      <c r="P121" s="24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24"/>
      <c r="N122" s="24"/>
      <c r="O122" s="8"/>
      <c r="P122" s="24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24"/>
      <c r="N123" s="24"/>
      <c r="O123" s="8"/>
      <c r="P123" s="24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24"/>
      <c r="N124" s="24"/>
      <c r="O124" s="8"/>
      <c r="P124" s="24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24"/>
      <c r="N125" s="24"/>
      <c r="O125" s="8"/>
      <c r="P125" s="24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24"/>
      <c r="N126" s="24"/>
      <c r="O126" s="8"/>
      <c r="P126" s="24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24"/>
      <c r="N127" s="24"/>
      <c r="O127" s="8"/>
      <c r="P127" s="24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24"/>
      <c r="N128" s="24"/>
      <c r="O128" s="8"/>
      <c r="P128" s="24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24"/>
      <c r="N129" s="24"/>
      <c r="O129" s="8"/>
      <c r="P129" s="24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24"/>
      <c r="N130" s="24"/>
      <c r="O130" s="8"/>
      <c r="P130" s="24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24"/>
      <c r="N131" s="24"/>
      <c r="O131" s="8"/>
      <c r="P131" s="24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24"/>
      <c r="N132" s="24"/>
      <c r="O132" s="8"/>
      <c r="P132" s="24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24"/>
      <c r="N133" s="24"/>
      <c r="O133" s="8"/>
      <c r="P133" s="24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24"/>
      <c r="N134" s="24"/>
      <c r="O134" s="8"/>
      <c r="P134" s="24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24"/>
      <c r="N135" s="24"/>
      <c r="O135" s="8"/>
      <c r="P135" s="24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24"/>
      <c r="N136" s="24"/>
      <c r="O136" s="8"/>
      <c r="P136" s="24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24"/>
      <c r="N137" s="24"/>
      <c r="O137" s="8"/>
      <c r="P137" s="24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24"/>
      <c r="N138" s="24"/>
      <c r="O138" s="8"/>
      <c r="P138" s="24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24"/>
      <c r="N139" s="24"/>
      <c r="O139" s="8"/>
      <c r="P139" s="24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24"/>
      <c r="N140" s="24"/>
      <c r="O140" s="8"/>
      <c r="P140" s="24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24"/>
      <c r="N141" s="24"/>
      <c r="O141" s="8"/>
      <c r="P141" s="24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24"/>
      <c r="N142" s="24"/>
      <c r="O142" s="8"/>
      <c r="P142" s="24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24"/>
      <c r="N143" s="24"/>
      <c r="O143" s="8"/>
      <c r="P143" s="24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24"/>
      <c r="N144" s="24"/>
      <c r="O144" s="8"/>
      <c r="P144" s="24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24"/>
      <c r="N145" s="24"/>
      <c r="O145" s="8"/>
      <c r="P145" s="24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24"/>
      <c r="N146" s="24"/>
      <c r="O146" s="8"/>
      <c r="P146" s="24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24"/>
      <c r="N147" s="24"/>
      <c r="O147" s="8"/>
      <c r="P147" s="24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24"/>
      <c r="N148" s="24"/>
      <c r="O148" s="8"/>
      <c r="P148" s="24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24"/>
      <c r="N149" s="24"/>
      <c r="O149" s="8"/>
      <c r="P149" s="24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24"/>
      <c r="N150" s="24"/>
      <c r="O150" s="8"/>
      <c r="P150" s="24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24"/>
      <c r="N151" s="24"/>
      <c r="O151" s="8"/>
      <c r="P151" s="24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24"/>
      <c r="N152" s="24"/>
      <c r="O152" s="8"/>
      <c r="P152" s="24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24"/>
      <c r="N153" s="24"/>
      <c r="O153" s="8"/>
      <c r="P153" s="24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24"/>
      <c r="N154" s="24"/>
      <c r="O154" s="8"/>
      <c r="P154" s="24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24"/>
      <c r="N155" s="24"/>
      <c r="O155" s="8"/>
      <c r="P155" s="24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24"/>
      <c r="N156" s="24"/>
      <c r="O156" s="8"/>
      <c r="P156" s="24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24"/>
      <c r="N157" s="24"/>
      <c r="O157" s="8"/>
      <c r="P157" s="24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24"/>
      <c r="N158" s="24"/>
      <c r="O158" s="8"/>
      <c r="P158" s="24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24"/>
      <c r="N159" s="24"/>
      <c r="O159" s="8"/>
      <c r="P159" s="24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24"/>
      <c r="N160" s="24"/>
      <c r="O160" s="8"/>
      <c r="P160" s="24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24"/>
      <c r="N161" s="24"/>
      <c r="O161" s="8"/>
      <c r="P161" s="24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24"/>
      <c r="N162" s="24"/>
      <c r="O162" s="8"/>
      <c r="P162" s="24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24"/>
      <c r="N163" s="24"/>
      <c r="O163" s="8"/>
      <c r="P163" s="24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24"/>
      <c r="N164" s="24"/>
      <c r="O164" s="8"/>
      <c r="P164" s="24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24"/>
      <c r="N165" s="24"/>
      <c r="O165" s="8"/>
      <c r="P165" s="24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24"/>
      <c r="N166" s="24"/>
      <c r="O166" s="8"/>
      <c r="P166" s="24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24"/>
      <c r="N167" s="24"/>
      <c r="O167" s="8"/>
      <c r="P167" s="24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24"/>
      <c r="N168" s="24"/>
      <c r="O168" s="8"/>
      <c r="P168" s="24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24"/>
      <c r="N169" s="24"/>
      <c r="O169" s="8"/>
      <c r="P169" s="24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24"/>
      <c r="N170" s="24"/>
      <c r="O170" s="8"/>
      <c r="P170" s="24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24"/>
      <c r="N171" s="24"/>
      <c r="O171" s="8"/>
      <c r="P171" s="24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24"/>
      <c r="N172" s="24"/>
      <c r="O172" s="8"/>
      <c r="P172" s="24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24"/>
      <c r="N173" s="24"/>
      <c r="O173" s="8"/>
      <c r="P173" s="24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24"/>
      <c r="N174" s="24"/>
      <c r="O174" s="8"/>
      <c r="P174" s="24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24"/>
      <c r="N175" s="24"/>
      <c r="O175" s="8"/>
      <c r="P175" s="24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24"/>
      <c r="N176" s="24"/>
      <c r="O176" s="8"/>
      <c r="P176" s="24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24"/>
      <c r="N177" s="24"/>
      <c r="O177" s="8"/>
      <c r="P177" s="24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24"/>
      <c r="N178" s="24"/>
      <c r="O178" s="8"/>
      <c r="P178" s="24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24"/>
      <c r="N179" s="24"/>
      <c r="O179" s="8"/>
      <c r="P179" s="24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24"/>
      <c r="N180" s="24"/>
      <c r="O180" s="8"/>
      <c r="P180" s="24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24"/>
      <c r="N181" s="24"/>
      <c r="O181" s="8"/>
      <c r="P181" s="24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24"/>
      <c r="N182" s="24"/>
      <c r="O182" s="8"/>
      <c r="P182" s="24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24"/>
      <c r="N183" s="24"/>
      <c r="O183" s="8"/>
      <c r="P183" s="24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24"/>
      <c r="N184" s="24"/>
      <c r="O184" s="8"/>
      <c r="P184" s="24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24"/>
      <c r="N185" s="24"/>
      <c r="O185" s="8"/>
      <c r="P185" s="24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24"/>
      <c r="N186" s="24"/>
      <c r="O186" s="8"/>
      <c r="P186" s="24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24"/>
      <c r="N187" s="24"/>
      <c r="O187" s="8"/>
      <c r="P187" s="24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24"/>
      <c r="N188" s="24"/>
      <c r="O188" s="8"/>
      <c r="P188" s="24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24"/>
      <c r="N189" s="24"/>
      <c r="O189" s="8"/>
      <c r="P189" s="24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24"/>
      <c r="N190" s="24"/>
      <c r="O190" s="8"/>
      <c r="P190" s="24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24"/>
      <c r="N191" s="24"/>
      <c r="O191" s="8"/>
      <c r="P191" s="24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24"/>
      <c r="N192" s="24"/>
      <c r="O192" s="8"/>
      <c r="P192" s="24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24"/>
      <c r="N193" s="24"/>
      <c r="O193" s="8"/>
      <c r="P193" s="24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24"/>
      <c r="N194" s="24"/>
      <c r="O194" s="8"/>
      <c r="P194" s="24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24"/>
      <c r="N195" s="24"/>
      <c r="O195" s="8"/>
      <c r="P195" s="24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24"/>
      <c r="N196" s="24"/>
      <c r="O196" s="8"/>
      <c r="P196" s="24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24"/>
      <c r="N197" s="24"/>
      <c r="O197" s="8"/>
      <c r="P197" s="24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24"/>
      <c r="N198" s="24"/>
      <c r="O198" s="8"/>
      <c r="P198" s="24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24"/>
      <c r="N199" s="24"/>
      <c r="O199" s="8"/>
      <c r="P199" s="24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24"/>
      <c r="N200" s="24"/>
      <c r="O200" s="8"/>
      <c r="P200" s="24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24"/>
      <c r="N201" s="24"/>
      <c r="O201" s="8"/>
      <c r="P201" s="24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24"/>
      <c r="N202" s="24"/>
      <c r="O202" s="8"/>
      <c r="P202" s="24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24"/>
      <c r="N203" s="24"/>
      <c r="O203" s="8"/>
      <c r="P203" s="24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24"/>
      <c r="N204" s="24"/>
      <c r="O204" s="8"/>
      <c r="P204" s="24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24"/>
      <c r="N205" s="24"/>
      <c r="O205" s="8"/>
      <c r="P205" s="24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24"/>
      <c r="N206" s="24"/>
      <c r="O206" s="8"/>
      <c r="P206" s="24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24"/>
      <c r="N207" s="24"/>
      <c r="O207" s="8"/>
      <c r="P207" s="24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24"/>
      <c r="N208" s="24"/>
      <c r="O208" s="8"/>
      <c r="P208" s="24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24"/>
      <c r="N209" s="24"/>
      <c r="O209" s="8"/>
      <c r="P209" s="24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24"/>
      <c r="N210" s="24"/>
      <c r="O210" s="8"/>
      <c r="P210" s="24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24"/>
      <c r="N211" s="24"/>
      <c r="O211" s="8"/>
      <c r="P211" s="24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24"/>
      <c r="N212" s="24"/>
      <c r="O212" s="8"/>
      <c r="P212" s="24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24"/>
      <c r="N213" s="24"/>
      <c r="O213" s="8"/>
      <c r="P213" s="24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24"/>
      <c r="N214" s="24"/>
      <c r="O214" s="8"/>
      <c r="P214" s="24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24"/>
      <c r="N215" s="24"/>
      <c r="O215" s="8"/>
      <c r="P215" s="24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24"/>
      <c r="N216" s="24"/>
      <c r="O216" s="8"/>
      <c r="P216" s="24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24"/>
      <c r="N217" s="24"/>
      <c r="O217" s="8"/>
      <c r="P217" s="24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24"/>
      <c r="N218" s="24"/>
      <c r="O218" s="8"/>
      <c r="P218" s="24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24"/>
      <c r="N219" s="24"/>
      <c r="O219" s="8"/>
      <c r="P219" s="24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24"/>
      <c r="N220" s="24"/>
      <c r="O220" s="8"/>
      <c r="P220" s="24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24"/>
      <c r="N221" s="24"/>
      <c r="O221" s="8"/>
      <c r="P221" s="24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24"/>
      <c r="N222" s="24"/>
      <c r="O222" s="8"/>
      <c r="P222" s="24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24"/>
      <c r="N223" s="24"/>
      <c r="O223" s="8"/>
      <c r="P223" s="24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24"/>
      <c r="N224" s="24"/>
      <c r="O224" s="8"/>
      <c r="P224" s="24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24"/>
      <c r="N225" s="24"/>
      <c r="O225" s="8"/>
      <c r="P225" s="24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24"/>
      <c r="N226" s="24"/>
      <c r="O226" s="8"/>
      <c r="P226" s="24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24"/>
      <c r="N227" s="24"/>
      <c r="O227" s="8"/>
      <c r="P227" s="24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24"/>
      <c r="N228" s="24"/>
      <c r="O228" s="8"/>
      <c r="P228" s="24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24"/>
      <c r="N229" s="24"/>
      <c r="O229" s="8"/>
      <c r="P229" s="24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24"/>
      <c r="N230" s="24"/>
      <c r="O230" s="8"/>
      <c r="P230" s="24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24"/>
      <c r="N231" s="24"/>
      <c r="O231" s="8"/>
      <c r="P231" s="24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24"/>
      <c r="N232" s="24"/>
      <c r="O232" s="8"/>
      <c r="P232" s="24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24"/>
      <c r="N233" s="24"/>
      <c r="O233" s="8"/>
      <c r="P233" s="24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24"/>
      <c r="N234" s="24"/>
      <c r="O234" s="8"/>
      <c r="P234" s="24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24"/>
      <c r="N235" s="24"/>
      <c r="O235" s="8"/>
      <c r="P235" s="24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24"/>
      <c r="N236" s="24"/>
      <c r="O236" s="8"/>
      <c r="P236" s="24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24"/>
      <c r="N237" s="24"/>
      <c r="O237" s="8"/>
      <c r="P237" s="24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24"/>
      <c r="N238" s="24"/>
      <c r="O238" s="8"/>
      <c r="P238" s="24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24"/>
      <c r="N239" s="24"/>
      <c r="O239" s="8"/>
      <c r="P239" s="24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24"/>
      <c r="N240" s="24"/>
      <c r="O240" s="8"/>
      <c r="P240" s="24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24"/>
      <c r="N241" s="24"/>
      <c r="O241" s="8"/>
      <c r="P241" s="24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24"/>
      <c r="N242" s="24"/>
      <c r="O242" s="8"/>
      <c r="P242" s="24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24"/>
      <c r="N243" s="24"/>
      <c r="O243" s="8"/>
      <c r="P243" s="24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24"/>
      <c r="N244" s="24"/>
      <c r="O244" s="8"/>
      <c r="P244" s="24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24"/>
      <c r="N245" s="24"/>
      <c r="O245" s="8"/>
      <c r="P245" s="24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24"/>
      <c r="N246" s="24"/>
      <c r="O246" s="8"/>
      <c r="P246" s="24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24"/>
      <c r="N247" s="24"/>
      <c r="O247" s="8"/>
      <c r="P247" s="24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24"/>
      <c r="N248" s="24"/>
      <c r="O248" s="8"/>
      <c r="P248" s="24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24"/>
      <c r="N249" s="24"/>
      <c r="O249" s="8"/>
      <c r="P249" s="24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24"/>
      <c r="N250" s="24"/>
      <c r="O250" s="8"/>
      <c r="P250" s="24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24"/>
      <c r="N251" s="24"/>
      <c r="O251" s="8"/>
      <c r="P251" s="24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24"/>
      <c r="N252" s="24"/>
      <c r="O252" s="8"/>
      <c r="P252" s="24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24"/>
      <c r="N253" s="24"/>
      <c r="O253" s="8"/>
      <c r="P253" s="24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24"/>
      <c r="N254" s="24"/>
      <c r="O254" s="8"/>
      <c r="P254" s="24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24"/>
      <c r="N255" s="24"/>
      <c r="O255" s="8"/>
      <c r="P255" s="24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24"/>
      <c r="N256" s="24"/>
      <c r="O256" s="8"/>
      <c r="P256" s="24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24"/>
      <c r="N257" s="24"/>
      <c r="O257" s="8"/>
      <c r="P257" s="24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24"/>
      <c r="N258" s="24"/>
      <c r="O258" s="8"/>
      <c r="P258" s="24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24"/>
      <c r="N259" s="24"/>
      <c r="O259" s="8"/>
      <c r="P259" s="24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24"/>
      <c r="N260" s="24"/>
      <c r="O260" s="8"/>
      <c r="P260" s="24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24"/>
      <c r="N261" s="24"/>
      <c r="O261" s="8"/>
      <c r="P261" s="24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24"/>
      <c r="N262" s="24"/>
      <c r="O262" s="8"/>
      <c r="P262" s="24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24"/>
      <c r="N263" s="24"/>
      <c r="O263" s="8"/>
      <c r="P263" s="24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24"/>
      <c r="N264" s="24"/>
      <c r="O264" s="8"/>
      <c r="P264" s="24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24"/>
      <c r="N265" s="24"/>
      <c r="O265" s="8"/>
      <c r="P265" s="24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24"/>
      <c r="N266" s="24"/>
      <c r="O266" s="8"/>
      <c r="P266" s="24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24"/>
      <c r="N267" s="24"/>
      <c r="O267" s="8"/>
      <c r="P267" s="24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24"/>
      <c r="N268" s="24"/>
      <c r="O268" s="8"/>
      <c r="P268" s="24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24"/>
      <c r="N269" s="24"/>
      <c r="O269" s="8"/>
      <c r="P269" s="24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24"/>
      <c r="N270" s="24"/>
      <c r="O270" s="8"/>
      <c r="P270" s="24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24"/>
      <c r="N271" s="24"/>
      <c r="O271" s="8"/>
      <c r="P271" s="24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24"/>
      <c r="N272" s="24"/>
      <c r="O272" s="8"/>
      <c r="P272" s="24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24"/>
      <c r="N273" s="24"/>
      <c r="O273" s="8"/>
      <c r="P273" s="24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24"/>
      <c r="N274" s="24"/>
      <c r="O274" s="8"/>
      <c r="P274" s="24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24"/>
      <c r="N275" s="24"/>
      <c r="O275" s="8"/>
      <c r="P275" s="24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24"/>
      <c r="N276" s="24"/>
      <c r="O276" s="8"/>
      <c r="P276" s="24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24"/>
      <c r="N277" s="24"/>
      <c r="O277" s="8"/>
      <c r="P277" s="24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24"/>
      <c r="N278" s="24"/>
      <c r="O278" s="8"/>
      <c r="P278" s="24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24"/>
      <c r="N279" s="24"/>
      <c r="O279" s="8"/>
      <c r="P279" s="24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24"/>
      <c r="N280" s="24"/>
      <c r="O280" s="8"/>
      <c r="P280" s="24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24"/>
      <c r="N281" s="24"/>
      <c r="O281" s="8"/>
      <c r="P281" s="24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24"/>
      <c r="N282" s="24"/>
      <c r="O282" s="8"/>
      <c r="P282" s="24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24"/>
      <c r="N283" s="24"/>
      <c r="O283" s="8"/>
      <c r="P283" s="24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24"/>
      <c r="N284" s="24"/>
      <c r="O284" s="8"/>
      <c r="P284" s="24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24"/>
      <c r="N285" s="24"/>
      <c r="O285" s="8"/>
      <c r="P285" s="24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24"/>
      <c r="N286" s="24"/>
      <c r="O286" s="8"/>
      <c r="P286" s="24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24"/>
      <c r="N287" s="24"/>
      <c r="O287" s="8"/>
      <c r="P287" s="24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24"/>
      <c r="N288" s="24"/>
      <c r="O288" s="8"/>
      <c r="P288" s="24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24"/>
      <c r="N289" s="24"/>
      <c r="O289" s="8"/>
      <c r="P289" s="24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24"/>
      <c r="N290" s="24"/>
      <c r="O290" s="8"/>
      <c r="P290" s="24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24"/>
      <c r="N291" s="24"/>
      <c r="O291" s="8"/>
      <c r="P291" s="24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24"/>
      <c r="N292" s="24"/>
      <c r="O292" s="8"/>
      <c r="P292" s="24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24"/>
      <c r="N293" s="24"/>
      <c r="O293" s="8"/>
      <c r="P293" s="24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24"/>
      <c r="N294" s="24"/>
      <c r="O294" s="8"/>
      <c r="P294" s="24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24"/>
      <c r="N295" s="24"/>
      <c r="O295" s="8"/>
      <c r="P295" s="24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24"/>
      <c r="N296" s="24"/>
      <c r="O296" s="8"/>
      <c r="P296" s="24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24"/>
      <c r="N297" s="24"/>
      <c r="O297" s="8"/>
      <c r="P297" s="24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24"/>
      <c r="N298" s="24"/>
      <c r="O298" s="8"/>
      <c r="P298" s="24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24"/>
      <c r="N299" s="24"/>
      <c r="O299" s="8"/>
      <c r="P299" s="24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24"/>
      <c r="N300" s="24"/>
      <c r="O300" s="8"/>
      <c r="P300" s="24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24"/>
      <c r="N301" s="24"/>
      <c r="O301" s="8"/>
      <c r="P301" s="24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24"/>
      <c r="N302" s="24"/>
      <c r="O302" s="8"/>
      <c r="P302" s="24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24"/>
      <c r="N303" s="24"/>
      <c r="O303" s="8"/>
      <c r="P303" s="24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24"/>
      <c r="N304" s="24"/>
      <c r="O304" s="8"/>
      <c r="P304" s="24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24"/>
      <c r="N305" s="24"/>
      <c r="O305" s="8"/>
      <c r="P305" s="24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24"/>
      <c r="N306" s="24"/>
      <c r="O306" s="8"/>
      <c r="P306" s="24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24"/>
      <c r="N307" s="24"/>
      <c r="O307" s="8"/>
      <c r="P307" s="24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24"/>
      <c r="N308" s="24"/>
      <c r="O308" s="8"/>
      <c r="P308" s="24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24"/>
      <c r="N309" s="24"/>
      <c r="O309" s="8"/>
      <c r="P309" s="24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24"/>
      <c r="N310" s="24"/>
      <c r="O310" s="8"/>
      <c r="P310" s="24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24"/>
      <c r="N311" s="24"/>
      <c r="O311" s="8"/>
      <c r="P311" s="24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24"/>
      <c r="N312" s="24"/>
      <c r="O312" s="8"/>
      <c r="P312" s="24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24"/>
      <c r="N313" s="24"/>
      <c r="O313" s="8"/>
      <c r="P313" s="24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24"/>
      <c r="N314" s="24"/>
      <c r="O314" s="8"/>
      <c r="P314" s="24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24"/>
      <c r="N315" s="24"/>
      <c r="O315" s="8"/>
      <c r="P315" s="24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24"/>
      <c r="N316" s="24"/>
      <c r="O316" s="8"/>
      <c r="P316" s="24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24"/>
      <c r="N317" s="24"/>
      <c r="O317" s="8"/>
      <c r="P317" s="24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24"/>
      <c r="N318" s="24"/>
      <c r="O318" s="8"/>
      <c r="P318" s="24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24"/>
      <c r="N319" s="24"/>
      <c r="O319" s="8"/>
      <c r="P319" s="24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24"/>
      <c r="N320" s="24"/>
      <c r="O320" s="8"/>
      <c r="P320" s="24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24"/>
      <c r="N321" s="24"/>
      <c r="O321" s="8"/>
      <c r="P321" s="24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24"/>
      <c r="N322" s="24"/>
      <c r="O322" s="8"/>
      <c r="P322" s="24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24"/>
      <c r="N323" s="24"/>
      <c r="O323" s="8"/>
      <c r="P323" s="24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24"/>
      <c r="N324" s="24"/>
      <c r="O324" s="8"/>
      <c r="P324" s="24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24"/>
      <c r="N325" s="24"/>
      <c r="O325" s="8"/>
      <c r="P325" s="24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24"/>
      <c r="N326" s="24"/>
      <c r="O326" s="8"/>
      <c r="P326" s="24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24"/>
      <c r="N327" s="24"/>
      <c r="O327" s="8"/>
      <c r="P327" s="24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24"/>
      <c r="N328" s="24"/>
      <c r="O328" s="8"/>
      <c r="P328" s="24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24"/>
      <c r="N329" s="24"/>
      <c r="O329" s="8"/>
      <c r="P329" s="24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24"/>
      <c r="N330" s="24"/>
      <c r="O330" s="8"/>
      <c r="P330" s="24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24"/>
      <c r="N331" s="24"/>
      <c r="O331" s="8"/>
      <c r="P331" s="24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24"/>
      <c r="N332" s="24"/>
      <c r="O332" s="8"/>
      <c r="P332" s="24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24"/>
      <c r="N333" s="24"/>
      <c r="O333" s="8"/>
      <c r="P333" s="24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24"/>
      <c r="N334" s="24"/>
      <c r="O334" s="8"/>
      <c r="P334" s="24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24"/>
      <c r="N335" s="24"/>
      <c r="O335" s="8"/>
      <c r="P335" s="24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24"/>
      <c r="N336" s="24"/>
      <c r="O336" s="8"/>
      <c r="P336" s="24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24"/>
      <c r="N337" s="24"/>
      <c r="O337" s="8"/>
      <c r="P337" s="24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24"/>
      <c r="N338" s="24"/>
      <c r="O338" s="8"/>
      <c r="P338" s="24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24"/>
      <c r="N339" s="24"/>
      <c r="O339" s="8"/>
      <c r="P339" s="24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24"/>
      <c r="N340" s="24"/>
      <c r="O340" s="8"/>
      <c r="P340" s="24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24"/>
      <c r="N341" s="24"/>
      <c r="O341" s="8"/>
      <c r="P341" s="24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24"/>
      <c r="N342" s="24"/>
      <c r="O342" s="8"/>
      <c r="P342" s="24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24"/>
      <c r="N343" s="24"/>
      <c r="O343" s="8"/>
      <c r="P343" s="24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24"/>
      <c r="N344" s="24"/>
      <c r="O344" s="8"/>
      <c r="P344" s="24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24"/>
      <c r="N345" s="24"/>
      <c r="O345" s="8"/>
      <c r="P345" s="24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24"/>
      <c r="N346" s="24"/>
      <c r="O346" s="8"/>
      <c r="P346" s="24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24"/>
      <c r="N347" s="24"/>
      <c r="O347" s="8"/>
      <c r="P347" s="24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24"/>
      <c r="N348" s="24"/>
      <c r="O348" s="8"/>
      <c r="P348" s="24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24"/>
      <c r="N349" s="24"/>
      <c r="O349" s="8"/>
      <c r="P349" s="24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24"/>
      <c r="N350" s="24"/>
      <c r="O350" s="8"/>
      <c r="P350" s="24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24"/>
      <c r="N351" s="24"/>
      <c r="O351" s="8"/>
      <c r="P351" s="24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24"/>
      <c r="N352" s="24"/>
      <c r="O352" s="8"/>
      <c r="P352" s="24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24"/>
      <c r="N353" s="24"/>
      <c r="O353" s="8"/>
      <c r="P353" s="24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24"/>
      <c r="N354" s="24"/>
      <c r="O354" s="8"/>
      <c r="P354" s="24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24"/>
      <c r="N355" s="24"/>
      <c r="O355" s="8"/>
      <c r="P355" s="24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24"/>
      <c r="N356" s="24"/>
      <c r="O356" s="8"/>
      <c r="P356" s="24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24"/>
      <c r="N357" s="24"/>
      <c r="O357" s="8"/>
      <c r="P357" s="24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24"/>
      <c r="N358" s="24"/>
      <c r="O358" s="8"/>
      <c r="P358" s="24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24"/>
      <c r="N359" s="24"/>
      <c r="O359" s="8"/>
      <c r="P359" s="24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24"/>
      <c r="N360" s="24"/>
      <c r="O360" s="8"/>
      <c r="P360" s="24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24"/>
      <c r="N361" s="24"/>
      <c r="O361" s="8"/>
      <c r="P361" s="24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24"/>
      <c r="N362" s="24"/>
      <c r="O362" s="8"/>
      <c r="P362" s="24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24"/>
      <c r="N363" s="24"/>
      <c r="O363" s="8"/>
      <c r="P363" s="24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24"/>
      <c r="N364" s="24"/>
      <c r="O364" s="8"/>
      <c r="P364" s="24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24"/>
      <c r="N365" s="24"/>
      <c r="O365" s="8"/>
      <c r="P365" s="24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24"/>
      <c r="N366" s="24"/>
      <c r="O366" s="8"/>
      <c r="P366" s="24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24"/>
      <c r="N367" s="24"/>
      <c r="O367" s="8"/>
      <c r="P367" s="24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24"/>
      <c r="N368" s="24"/>
      <c r="O368" s="8"/>
      <c r="P368" s="24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24"/>
      <c r="N369" s="24"/>
      <c r="O369" s="8"/>
      <c r="P369" s="24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24"/>
      <c r="N370" s="24"/>
      <c r="O370" s="8"/>
      <c r="P370" s="24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24"/>
      <c r="N371" s="24"/>
      <c r="O371" s="8"/>
      <c r="P371" s="24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24"/>
      <c r="N372" s="24"/>
      <c r="O372" s="8"/>
      <c r="P372" s="24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24"/>
      <c r="N373" s="24"/>
      <c r="O373" s="8"/>
      <c r="P373" s="24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24"/>
      <c r="N374" s="24"/>
      <c r="O374" s="8"/>
      <c r="P374" s="24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24"/>
      <c r="N375" s="24"/>
      <c r="O375" s="8"/>
      <c r="P375" s="24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24"/>
      <c r="N376" s="24"/>
      <c r="O376" s="8"/>
      <c r="P376" s="24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24"/>
      <c r="N377" s="24"/>
      <c r="O377" s="8"/>
      <c r="P377" s="24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24"/>
      <c r="N378" s="24"/>
      <c r="O378" s="8"/>
      <c r="P378" s="24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24"/>
      <c r="N379" s="24"/>
      <c r="O379" s="8"/>
      <c r="P379" s="24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24"/>
      <c r="N380" s="24"/>
      <c r="O380" s="8"/>
      <c r="P380" s="24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24"/>
      <c r="N381" s="24"/>
      <c r="O381" s="8"/>
      <c r="P381" s="24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24"/>
      <c r="N382" s="24"/>
      <c r="O382" s="8"/>
      <c r="P382" s="24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24"/>
      <c r="N383" s="24"/>
      <c r="O383" s="8"/>
      <c r="P383" s="24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24"/>
      <c r="N384" s="24"/>
      <c r="O384" s="8"/>
      <c r="P384" s="24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24"/>
      <c r="N385" s="24"/>
      <c r="O385" s="8"/>
      <c r="P385" s="24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24"/>
      <c r="N386" s="24"/>
      <c r="O386" s="8"/>
      <c r="P386" s="24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24"/>
      <c r="N387" s="24"/>
      <c r="O387" s="8"/>
      <c r="P387" s="24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24"/>
      <c r="N388" s="24"/>
      <c r="O388" s="8"/>
      <c r="P388" s="24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24"/>
      <c r="N389" s="24"/>
      <c r="O389" s="8"/>
      <c r="P389" s="24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24"/>
      <c r="N390" s="24"/>
      <c r="O390" s="8"/>
      <c r="P390" s="24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24"/>
      <c r="N391" s="24"/>
      <c r="O391" s="8"/>
      <c r="P391" s="24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24"/>
      <c r="N392" s="24"/>
      <c r="O392" s="8"/>
      <c r="P392" s="24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24"/>
      <c r="N393" s="24"/>
      <c r="O393" s="8"/>
      <c r="P393" s="24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24"/>
      <c r="N394" s="24"/>
      <c r="O394" s="8"/>
      <c r="P394" s="24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24"/>
      <c r="N395" s="24"/>
      <c r="O395" s="8"/>
      <c r="P395" s="24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24"/>
      <c r="N396" s="24"/>
      <c r="O396" s="8"/>
      <c r="P396" s="24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24"/>
      <c r="N397" s="24"/>
      <c r="O397" s="8"/>
      <c r="P397" s="24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24"/>
      <c r="N398" s="24"/>
      <c r="O398" s="8"/>
      <c r="P398" s="24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24"/>
      <c r="N399" s="24"/>
      <c r="O399" s="8"/>
      <c r="P399" s="24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24"/>
      <c r="N400" s="24"/>
      <c r="O400" s="8"/>
      <c r="P400" s="24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24"/>
      <c r="N401" s="24"/>
      <c r="O401" s="8"/>
      <c r="P401" s="24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24"/>
      <c r="N402" s="24"/>
      <c r="O402" s="8"/>
      <c r="P402" s="24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24"/>
      <c r="N403" s="24"/>
      <c r="O403" s="8"/>
      <c r="P403" s="24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24"/>
      <c r="N404" s="24"/>
      <c r="O404" s="8"/>
      <c r="P404" s="24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24"/>
      <c r="N405" s="24"/>
      <c r="O405" s="8"/>
      <c r="P405" s="24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24"/>
      <c r="N406" s="24"/>
      <c r="O406" s="8"/>
      <c r="P406" s="24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24"/>
      <c r="N407" s="24"/>
      <c r="O407" s="8"/>
      <c r="P407" s="24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24"/>
      <c r="N408" s="24"/>
      <c r="O408" s="8"/>
      <c r="P408" s="24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24"/>
      <c r="N409" s="24"/>
      <c r="O409" s="8"/>
      <c r="P409" s="24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24"/>
      <c r="N410" s="24"/>
      <c r="O410" s="8"/>
      <c r="P410" s="24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24"/>
      <c r="N411" s="24"/>
      <c r="O411" s="8"/>
      <c r="P411" s="24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24"/>
      <c r="N412" s="24"/>
      <c r="O412" s="8"/>
      <c r="P412" s="24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24"/>
      <c r="N413" s="24"/>
      <c r="O413" s="8"/>
      <c r="P413" s="24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24"/>
      <c r="N414" s="24"/>
      <c r="O414" s="8"/>
      <c r="P414" s="24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24"/>
      <c r="N415" s="24"/>
      <c r="O415" s="8"/>
      <c r="P415" s="24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24"/>
      <c r="N416" s="24"/>
      <c r="O416" s="8"/>
      <c r="P416" s="24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24"/>
      <c r="N417" s="24"/>
      <c r="O417" s="8"/>
      <c r="P417" s="24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24"/>
      <c r="N418" s="24"/>
      <c r="O418" s="8"/>
      <c r="P418" s="24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24"/>
      <c r="N419" s="24"/>
      <c r="O419" s="8"/>
      <c r="P419" s="24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24"/>
      <c r="N420" s="24"/>
      <c r="O420" s="8"/>
      <c r="P420" s="24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24"/>
      <c r="N421" s="24"/>
      <c r="O421" s="8"/>
      <c r="P421" s="24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24"/>
      <c r="N422" s="24"/>
      <c r="O422" s="8"/>
      <c r="P422" s="24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24"/>
      <c r="N423" s="24"/>
      <c r="O423" s="8"/>
      <c r="P423" s="24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24"/>
      <c r="N424" s="24"/>
      <c r="O424" s="8"/>
      <c r="P424" s="24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24"/>
      <c r="N425" s="24"/>
      <c r="O425" s="8"/>
      <c r="P425" s="24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24"/>
      <c r="N426" s="24"/>
      <c r="O426" s="8"/>
      <c r="P426" s="24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24"/>
      <c r="N427" s="24"/>
      <c r="O427" s="8"/>
      <c r="P427" s="24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24"/>
      <c r="N428" s="24"/>
      <c r="O428" s="8"/>
      <c r="P428" s="24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24"/>
      <c r="N429" s="24"/>
      <c r="O429" s="8"/>
      <c r="P429" s="24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24"/>
      <c r="N430" s="24"/>
      <c r="O430" s="8"/>
      <c r="P430" s="24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24"/>
      <c r="N431" s="24"/>
      <c r="O431" s="8"/>
      <c r="P431" s="24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24"/>
      <c r="N432" s="24"/>
      <c r="O432" s="8"/>
      <c r="P432" s="24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24"/>
      <c r="N433" s="24"/>
      <c r="O433" s="8"/>
      <c r="P433" s="24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24"/>
      <c r="N434" s="24"/>
      <c r="O434" s="8"/>
      <c r="P434" s="24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24"/>
      <c r="N435" s="24"/>
      <c r="O435" s="8"/>
      <c r="P435" s="24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24"/>
      <c r="N436" s="24"/>
      <c r="O436" s="8"/>
      <c r="P436" s="24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24"/>
      <c r="N437" s="24"/>
      <c r="O437" s="8"/>
      <c r="P437" s="24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24"/>
      <c r="N438" s="24"/>
      <c r="O438" s="8"/>
      <c r="P438" s="24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24"/>
      <c r="N439" s="24"/>
      <c r="O439" s="8"/>
      <c r="P439" s="24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24"/>
      <c r="N440" s="24"/>
      <c r="O440" s="8"/>
      <c r="P440" s="24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24"/>
      <c r="N441" s="24"/>
      <c r="O441" s="8"/>
      <c r="P441" s="24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24"/>
      <c r="N442" s="24"/>
      <c r="O442" s="8"/>
      <c r="P442" s="24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24"/>
      <c r="N443" s="24"/>
      <c r="O443" s="8"/>
      <c r="P443" s="24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24"/>
      <c r="N444" s="24"/>
      <c r="O444" s="8"/>
      <c r="P444" s="24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24"/>
      <c r="N445" s="24"/>
      <c r="O445" s="8"/>
      <c r="P445" s="24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24"/>
      <c r="N446" s="24"/>
      <c r="O446" s="8"/>
      <c r="P446" s="24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24"/>
      <c r="N447" s="24"/>
      <c r="O447" s="8"/>
      <c r="P447" s="24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24"/>
      <c r="N448" s="24"/>
      <c r="O448" s="8"/>
      <c r="P448" s="24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24"/>
      <c r="N449" s="24"/>
      <c r="O449" s="8"/>
      <c r="P449" s="24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24"/>
      <c r="N450" s="24"/>
      <c r="O450" s="8"/>
      <c r="P450" s="24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24"/>
      <c r="N451" s="24"/>
      <c r="O451" s="8"/>
      <c r="P451" s="24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24"/>
      <c r="N452" s="24"/>
      <c r="O452" s="8"/>
      <c r="P452" s="24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24"/>
      <c r="N453" s="24"/>
      <c r="O453" s="8"/>
      <c r="P453" s="24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24"/>
      <c r="N454" s="24"/>
      <c r="O454" s="8"/>
      <c r="P454" s="24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24"/>
      <c r="N455" s="24"/>
      <c r="O455" s="8"/>
      <c r="P455" s="24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24"/>
      <c r="N456" s="24"/>
      <c r="O456" s="8"/>
      <c r="P456" s="24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24"/>
      <c r="N457" s="24"/>
      <c r="O457" s="8"/>
      <c r="P457" s="24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24"/>
      <c r="N458" s="24"/>
      <c r="O458" s="8"/>
      <c r="P458" s="24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24"/>
      <c r="N459" s="24"/>
      <c r="O459" s="8"/>
      <c r="P459" s="24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24"/>
      <c r="N460" s="24"/>
      <c r="O460" s="8"/>
      <c r="P460" s="24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24"/>
      <c r="N461" s="24"/>
      <c r="O461" s="8"/>
      <c r="P461" s="24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24"/>
      <c r="N462" s="24"/>
      <c r="O462" s="8"/>
      <c r="P462" s="24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24"/>
      <c r="N463" s="24"/>
      <c r="O463" s="8"/>
      <c r="P463" s="24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24"/>
      <c r="N464" s="24"/>
      <c r="O464" s="8"/>
      <c r="P464" s="24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24"/>
      <c r="N465" s="24"/>
      <c r="O465" s="8"/>
      <c r="P465" s="24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24"/>
      <c r="N466" s="24"/>
      <c r="O466" s="8"/>
      <c r="P466" s="24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24"/>
      <c r="N467" s="24"/>
      <c r="O467" s="8"/>
      <c r="P467" s="24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24"/>
      <c r="N468" s="24"/>
      <c r="O468" s="8"/>
      <c r="P468" s="24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24"/>
      <c r="N469" s="24"/>
      <c r="O469" s="8"/>
      <c r="P469" s="24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24"/>
      <c r="N470" s="24"/>
      <c r="O470" s="8"/>
      <c r="P470" s="24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24"/>
      <c r="N471" s="24"/>
      <c r="O471" s="8"/>
      <c r="P471" s="24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24"/>
      <c r="N472" s="24"/>
      <c r="O472" s="8"/>
      <c r="P472" s="24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24"/>
      <c r="N473" s="24"/>
      <c r="O473" s="8"/>
      <c r="P473" s="24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24"/>
      <c r="N474" s="24"/>
      <c r="O474" s="8"/>
      <c r="P474" s="24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24"/>
      <c r="N475" s="24"/>
      <c r="O475" s="8"/>
      <c r="P475" s="24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24"/>
      <c r="N476" s="24"/>
      <c r="O476" s="8"/>
      <c r="P476" s="24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24"/>
      <c r="N477" s="24"/>
      <c r="O477" s="8"/>
      <c r="P477" s="24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24"/>
      <c r="N478" s="24"/>
      <c r="O478" s="8"/>
      <c r="P478" s="24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24"/>
      <c r="N479" s="24"/>
      <c r="O479" s="8"/>
      <c r="P479" s="24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24"/>
      <c r="N480" s="24"/>
      <c r="O480" s="8"/>
      <c r="P480" s="24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24"/>
      <c r="N481" s="24"/>
      <c r="O481" s="8"/>
      <c r="P481" s="24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24"/>
      <c r="N482" s="24"/>
      <c r="O482" s="8"/>
      <c r="P482" s="24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24"/>
      <c r="N483" s="24"/>
      <c r="O483" s="8"/>
      <c r="P483" s="24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24"/>
      <c r="N484" s="24"/>
      <c r="O484" s="8"/>
      <c r="P484" s="24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24"/>
      <c r="N485" s="24"/>
      <c r="O485" s="8"/>
      <c r="P485" s="24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24"/>
      <c r="N486" s="24"/>
      <c r="O486" s="8"/>
      <c r="P486" s="24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24"/>
      <c r="N487" s="24"/>
      <c r="O487" s="8"/>
      <c r="P487" s="24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24"/>
      <c r="N488" s="24"/>
      <c r="O488" s="8"/>
      <c r="P488" s="24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24"/>
      <c r="N489" s="24"/>
      <c r="O489" s="8"/>
      <c r="P489" s="24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24"/>
      <c r="N490" s="24"/>
      <c r="O490" s="8"/>
      <c r="P490" s="24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24"/>
      <c r="N491" s="24"/>
      <c r="O491" s="8"/>
      <c r="P491" s="24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24"/>
      <c r="N492" s="24"/>
      <c r="O492" s="8"/>
      <c r="P492" s="24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24"/>
      <c r="N493" s="24"/>
      <c r="O493" s="8"/>
      <c r="P493" s="24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24"/>
      <c r="N494" s="24"/>
      <c r="O494" s="8"/>
      <c r="P494" s="24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24"/>
      <c r="N495" s="24"/>
      <c r="O495" s="8"/>
      <c r="P495" s="24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24"/>
      <c r="N496" s="24"/>
      <c r="O496" s="8"/>
      <c r="P496" s="24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24"/>
      <c r="N497" s="24"/>
      <c r="O497" s="8"/>
      <c r="P497" s="24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24"/>
      <c r="N498" s="24"/>
      <c r="O498" s="8"/>
      <c r="P498" s="24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24"/>
      <c r="N499" s="24"/>
      <c r="O499" s="8"/>
      <c r="P499" s="24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24"/>
      <c r="N500" s="24"/>
      <c r="O500" s="8"/>
      <c r="P500" s="24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24"/>
      <c r="N501" s="24"/>
      <c r="O501" s="8"/>
      <c r="P501" s="24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24"/>
      <c r="N502" s="24"/>
      <c r="O502" s="8"/>
      <c r="P502" s="24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24"/>
      <c r="N503" s="24"/>
      <c r="O503" s="8"/>
      <c r="P503" s="24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24"/>
      <c r="N504" s="24"/>
      <c r="O504" s="8"/>
      <c r="P504" s="24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24"/>
      <c r="N505" s="24"/>
      <c r="O505" s="8"/>
      <c r="P505" s="24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24"/>
      <c r="N506" s="24"/>
      <c r="O506" s="8"/>
      <c r="P506" s="24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24"/>
      <c r="N507" s="24"/>
      <c r="O507" s="8"/>
      <c r="P507" s="24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24"/>
      <c r="N508" s="24"/>
      <c r="O508" s="8"/>
      <c r="P508" s="24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24"/>
      <c r="N509" s="24"/>
      <c r="O509" s="8"/>
      <c r="P509" s="24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24"/>
      <c r="N510" s="24"/>
      <c r="O510" s="8"/>
      <c r="P510" s="24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24"/>
      <c r="N511" s="24"/>
      <c r="O511" s="8"/>
      <c r="P511" s="24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24"/>
      <c r="N512" s="24"/>
      <c r="O512" s="8"/>
      <c r="P512" s="24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24"/>
      <c r="N513" s="24"/>
      <c r="O513" s="8"/>
      <c r="P513" s="24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24"/>
      <c r="N514" s="24"/>
      <c r="O514" s="8"/>
      <c r="P514" s="24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24"/>
      <c r="N515" s="24"/>
      <c r="O515" s="8"/>
      <c r="P515" s="24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24"/>
      <c r="N516" s="24"/>
      <c r="O516" s="8"/>
      <c r="P516" s="24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24"/>
      <c r="N517" s="24"/>
      <c r="O517" s="8"/>
      <c r="P517" s="24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24"/>
      <c r="N518" s="24"/>
      <c r="O518" s="8"/>
      <c r="P518" s="24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24"/>
      <c r="N519" s="24"/>
      <c r="O519" s="8"/>
      <c r="P519" s="24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24"/>
      <c r="N520" s="24"/>
      <c r="O520" s="8"/>
      <c r="P520" s="24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24"/>
      <c r="N521" s="24"/>
      <c r="O521" s="8"/>
      <c r="P521" s="24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24"/>
      <c r="N522" s="24"/>
      <c r="O522" s="8"/>
      <c r="P522" s="24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24"/>
      <c r="N523" s="24"/>
      <c r="O523" s="8"/>
      <c r="P523" s="24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24"/>
      <c r="N524" s="24"/>
      <c r="O524" s="8"/>
      <c r="P524" s="24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24"/>
      <c r="N525" s="24"/>
      <c r="O525" s="8"/>
      <c r="P525" s="24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24"/>
      <c r="N526" s="24"/>
      <c r="O526" s="8"/>
      <c r="P526" s="24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24"/>
      <c r="N527" s="24"/>
      <c r="O527" s="8"/>
      <c r="P527" s="24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24"/>
      <c r="N528" s="24"/>
      <c r="O528" s="8"/>
      <c r="P528" s="24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24"/>
      <c r="N529" s="24"/>
      <c r="O529" s="8"/>
      <c r="P529" s="24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24"/>
      <c r="N530" s="24"/>
      <c r="O530" s="8"/>
      <c r="P530" s="24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24"/>
      <c r="N531" s="24"/>
      <c r="O531" s="8"/>
      <c r="P531" s="24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24"/>
      <c r="N532" s="24"/>
      <c r="O532" s="8"/>
      <c r="P532" s="24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24"/>
      <c r="N533" s="24"/>
      <c r="O533" s="8"/>
      <c r="P533" s="24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24"/>
      <c r="N534" s="24"/>
      <c r="O534" s="8"/>
      <c r="P534" s="24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24"/>
      <c r="N535" s="24"/>
      <c r="O535" s="8"/>
      <c r="P535" s="24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24"/>
      <c r="N536" s="24"/>
      <c r="O536" s="8"/>
      <c r="P536" s="24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24"/>
      <c r="N537" s="24"/>
      <c r="O537" s="8"/>
      <c r="P537" s="24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24"/>
      <c r="N538" s="24"/>
      <c r="O538" s="8"/>
      <c r="P538" s="24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24"/>
      <c r="N539" s="24"/>
      <c r="O539" s="8"/>
      <c r="P539" s="24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24"/>
      <c r="N540" s="24"/>
      <c r="O540" s="8"/>
      <c r="P540" s="24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24"/>
      <c r="N541" s="24"/>
      <c r="O541" s="8"/>
      <c r="P541" s="24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24"/>
      <c r="N542" s="24"/>
      <c r="O542" s="8"/>
      <c r="P542" s="24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24"/>
      <c r="N543" s="24"/>
      <c r="O543" s="8"/>
      <c r="P543" s="24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24"/>
      <c r="N544" s="24"/>
      <c r="O544" s="8"/>
      <c r="P544" s="24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24"/>
      <c r="N545" s="24"/>
      <c r="O545" s="8"/>
      <c r="P545" s="24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24"/>
      <c r="N546" s="24"/>
      <c r="O546" s="8"/>
      <c r="P546" s="24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24"/>
      <c r="N547" s="24"/>
      <c r="O547" s="8"/>
      <c r="P547" s="24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24"/>
      <c r="N548" s="24"/>
      <c r="O548" s="8"/>
      <c r="P548" s="24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24"/>
      <c r="N549" s="24"/>
      <c r="O549" s="8"/>
      <c r="P549" s="24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24"/>
      <c r="N550" s="24"/>
      <c r="O550" s="8"/>
      <c r="P550" s="24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24"/>
      <c r="N551" s="24"/>
      <c r="O551" s="8"/>
      <c r="P551" s="24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24"/>
      <c r="N552" s="24"/>
      <c r="O552" s="8"/>
      <c r="P552" s="24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24"/>
      <c r="N553" s="24"/>
      <c r="O553" s="8"/>
      <c r="P553" s="24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24"/>
      <c r="N554" s="24"/>
      <c r="O554" s="8"/>
      <c r="P554" s="24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24"/>
      <c r="N555" s="24"/>
      <c r="O555" s="8"/>
      <c r="P555" s="24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24"/>
      <c r="N556" s="24"/>
      <c r="O556" s="8"/>
      <c r="P556" s="24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24"/>
      <c r="N557" s="24"/>
      <c r="O557" s="8"/>
      <c r="P557" s="24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24"/>
      <c r="N558" s="24"/>
      <c r="O558" s="8"/>
      <c r="P558" s="24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24"/>
      <c r="N559" s="24"/>
      <c r="O559" s="8"/>
      <c r="P559" s="24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24"/>
      <c r="N560" s="24"/>
      <c r="O560" s="8"/>
      <c r="P560" s="24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24"/>
      <c r="N561" s="24"/>
      <c r="O561" s="8"/>
      <c r="P561" s="24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24"/>
      <c r="N562" s="24"/>
      <c r="O562" s="8"/>
      <c r="P562" s="24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24"/>
      <c r="N563" s="24"/>
      <c r="O563" s="8"/>
      <c r="P563" s="24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24"/>
      <c r="N564" s="24"/>
      <c r="O564" s="8"/>
      <c r="P564" s="24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24"/>
      <c r="N565" s="24"/>
      <c r="O565" s="8"/>
      <c r="P565" s="24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24"/>
      <c r="N566" s="24"/>
      <c r="O566" s="8"/>
      <c r="P566" s="24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24"/>
      <c r="N567" s="24"/>
      <c r="O567" s="8"/>
      <c r="P567" s="24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4"/>
      <c r="N568" s="24"/>
      <c r="O568" s="8"/>
      <c r="P568" s="24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24"/>
      <c r="N569" s="24"/>
      <c r="O569" s="8"/>
      <c r="P569" s="24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24"/>
      <c r="N570" s="24"/>
      <c r="O570" s="8"/>
      <c r="P570" s="24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24"/>
      <c r="N571" s="24"/>
      <c r="O571" s="8"/>
      <c r="P571" s="24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24"/>
      <c r="N572" s="24"/>
      <c r="O572" s="8"/>
      <c r="P572" s="24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24"/>
      <c r="N573" s="24"/>
      <c r="O573" s="8"/>
      <c r="P573" s="24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24"/>
      <c r="N574" s="24"/>
      <c r="O574" s="8"/>
      <c r="P574" s="24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24"/>
      <c r="N575" s="24"/>
      <c r="O575" s="8"/>
      <c r="P575" s="24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24"/>
      <c r="N576" s="24"/>
      <c r="O576" s="8"/>
      <c r="P576" s="24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24"/>
      <c r="N577" s="24"/>
      <c r="O577" s="8"/>
      <c r="P577" s="24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24"/>
      <c r="N578" s="24"/>
      <c r="O578" s="8"/>
      <c r="P578" s="24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24"/>
      <c r="N579" s="24"/>
      <c r="O579" s="8"/>
      <c r="P579" s="24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24"/>
      <c r="N580" s="24"/>
      <c r="O580" s="8"/>
      <c r="P580" s="24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24"/>
      <c r="N581" s="24"/>
      <c r="O581" s="8"/>
      <c r="P581" s="24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24"/>
      <c r="N582" s="24"/>
      <c r="O582" s="8"/>
      <c r="P582" s="24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24"/>
      <c r="N583" s="24"/>
      <c r="O583" s="8"/>
      <c r="P583" s="24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24"/>
      <c r="N584" s="24"/>
      <c r="O584" s="8"/>
      <c r="P584" s="24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24"/>
      <c r="N585" s="24"/>
      <c r="O585" s="8"/>
      <c r="P585" s="24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24"/>
      <c r="N586" s="24"/>
      <c r="O586" s="8"/>
      <c r="P586" s="24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24"/>
      <c r="N587" s="24"/>
      <c r="O587" s="8"/>
      <c r="P587" s="24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24"/>
      <c r="N588" s="24"/>
      <c r="O588" s="8"/>
      <c r="P588" s="24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24"/>
      <c r="N589" s="24"/>
      <c r="O589" s="8"/>
      <c r="P589" s="24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24"/>
      <c r="N590" s="24"/>
      <c r="O590" s="8"/>
      <c r="P590" s="24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24"/>
      <c r="N591" s="24"/>
      <c r="O591" s="8"/>
      <c r="P591" s="24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24"/>
      <c r="N592" s="24"/>
      <c r="O592" s="8"/>
      <c r="P592" s="24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24"/>
      <c r="N593" s="24"/>
      <c r="O593" s="8"/>
      <c r="P593" s="24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24"/>
      <c r="N594" s="24"/>
      <c r="O594" s="8"/>
      <c r="P594" s="24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24"/>
      <c r="N595" s="24"/>
      <c r="O595" s="8"/>
      <c r="P595" s="24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24"/>
      <c r="N596" s="24"/>
      <c r="O596" s="8"/>
      <c r="P596" s="24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24"/>
      <c r="N597" s="24"/>
      <c r="O597" s="8"/>
      <c r="P597" s="24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24"/>
      <c r="N598" s="24"/>
      <c r="O598" s="8"/>
      <c r="P598" s="24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24"/>
      <c r="N599" s="24"/>
      <c r="O599" s="8"/>
      <c r="P599" s="24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24"/>
      <c r="N600" s="24"/>
      <c r="O600" s="8"/>
      <c r="P600" s="24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24"/>
      <c r="N601" s="24"/>
      <c r="O601" s="8"/>
      <c r="P601" s="24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24"/>
      <c r="N602" s="24"/>
      <c r="O602" s="8"/>
      <c r="P602" s="24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24"/>
      <c r="N603" s="24"/>
      <c r="O603" s="8"/>
      <c r="P603" s="24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24"/>
      <c r="N604" s="24"/>
      <c r="O604" s="8"/>
      <c r="P604" s="24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24"/>
      <c r="N605" s="24"/>
      <c r="O605" s="8"/>
      <c r="P605" s="24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24"/>
      <c r="N606" s="24"/>
      <c r="O606" s="8"/>
      <c r="P606" s="24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24"/>
      <c r="N607" s="24"/>
      <c r="O607" s="8"/>
      <c r="P607" s="24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24"/>
      <c r="N608" s="24"/>
      <c r="O608" s="8"/>
      <c r="P608" s="24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24"/>
      <c r="N609" s="24"/>
      <c r="O609" s="8"/>
      <c r="P609" s="24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24"/>
      <c r="N610" s="24"/>
      <c r="O610" s="8"/>
      <c r="P610" s="24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24"/>
      <c r="N611" s="24"/>
      <c r="O611" s="8"/>
      <c r="P611" s="24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24"/>
      <c r="N612" s="24"/>
      <c r="O612" s="8"/>
      <c r="P612" s="24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24"/>
      <c r="N613" s="24"/>
      <c r="O613" s="8"/>
      <c r="P613" s="24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24"/>
      <c r="N614" s="24"/>
      <c r="O614" s="8"/>
      <c r="P614" s="24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24"/>
      <c r="N615" s="24"/>
      <c r="O615" s="8"/>
      <c r="P615" s="24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24"/>
      <c r="N616" s="24"/>
      <c r="O616" s="8"/>
      <c r="P616" s="24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24"/>
      <c r="N617" s="24"/>
      <c r="O617" s="8"/>
      <c r="P617" s="24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24"/>
      <c r="N618" s="24"/>
      <c r="O618" s="8"/>
      <c r="P618" s="24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24"/>
      <c r="N619" s="24"/>
      <c r="O619" s="8"/>
      <c r="P619" s="24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24"/>
      <c r="N620" s="24"/>
      <c r="O620" s="8"/>
      <c r="P620" s="24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24"/>
      <c r="N621" s="24"/>
      <c r="O621" s="8"/>
      <c r="P621" s="24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24"/>
      <c r="N622" s="24"/>
      <c r="O622" s="8"/>
      <c r="P622" s="24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24"/>
      <c r="N623" s="24"/>
      <c r="O623" s="8"/>
      <c r="P623" s="24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24"/>
      <c r="N624" s="24"/>
      <c r="O624" s="8"/>
      <c r="P624" s="24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24"/>
      <c r="N625" s="24"/>
      <c r="O625" s="8"/>
      <c r="P625" s="24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24"/>
      <c r="N626" s="24"/>
      <c r="O626" s="8"/>
      <c r="P626" s="24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24"/>
      <c r="N627" s="24"/>
      <c r="O627" s="8"/>
      <c r="P627" s="24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24"/>
      <c r="N628" s="24"/>
      <c r="O628" s="8"/>
      <c r="P628" s="24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24"/>
      <c r="N629" s="24"/>
      <c r="O629" s="8"/>
      <c r="P629" s="24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24"/>
      <c r="N630" s="24"/>
      <c r="O630" s="8"/>
      <c r="P630" s="24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24"/>
      <c r="N631" s="24"/>
      <c r="O631" s="8"/>
      <c r="P631" s="24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24"/>
      <c r="N632" s="24"/>
      <c r="O632" s="8"/>
      <c r="P632" s="24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24"/>
      <c r="N633" s="24"/>
      <c r="O633" s="8"/>
      <c r="P633" s="24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24"/>
      <c r="N634" s="24"/>
      <c r="O634" s="8"/>
      <c r="P634" s="24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24"/>
      <c r="N635" s="24"/>
      <c r="O635" s="8"/>
      <c r="P635" s="24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24"/>
      <c r="N636" s="24"/>
      <c r="O636" s="8"/>
      <c r="P636" s="24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24"/>
      <c r="N637" s="24"/>
      <c r="O637" s="8"/>
      <c r="P637" s="24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24"/>
      <c r="N638" s="24"/>
      <c r="O638" s="8"/>
      <c r="P638" s="24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24"/>
      <c r="N639" s="24"/>
      <c r="O639" s="8"/>
      <c r="P639" s="24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24"/>
      <c r="N640" s="24"/>
      <c r="O640" s="8"/>
      <c r="P640" s="24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24"/>
      <c r="N641" s="24"/>
      <c r="O641" s="8"/>
      <c r="P641" s="24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24"/>
      <c r="N642" s="24"/>
      <c r="O642" s="8"/>
      <c r="P642" s="24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24"/>
      <c r="N643" s="24"/>
      <c r="O643" s="8"/>
      <c r="P643" s="24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24"/>
      <c r="N644" s="24"/>
      <c r="O644" s="8"/>
      <c r="P644" s="24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24"/>
      <c r="N645" s="24"/>
      <c r="O645" s="8"/>
      <c r="P645" s="24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24"/>
      <c r="N646" s="24"/>
      <c r="O646" s="8"/>
      <c r="P646" s="24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24"/>
      <c r="N647" s="24"/>
      <c r="O647" s="8"/>
      <c r="P647" s="24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24"/>
      <c r="N648" s="24"/>
      <c r="O648" s="8"/>
      <c r="P648" s="24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24"/>
      <c r="N649" s="24"/>
      <c r="O649" s="8"/>
      <c r="P649" s="24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24"/>
      <c r="N650" s="24"/>
      <c r="O650" s="8"/>
      <c r="P650" s="24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24"/>
      <c r="N651" s="24"/>
      <c r="O651" s="8"/>
      <c r="P651" s="24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24"/>
      <c r="N652" s="24"/>
      <c r="O652" s="8"/>
      <c r="P652" s="24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24"/>
      <c r="N653" s="24"/>
      <c r="O653" s="8"/>
      <c r="P653" s="24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24"/>
      <c r="N654" s="24"/>
      <c r="O654" s="8"/>
      <c r="P654" s="24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24"/>
      <c r="N655" s="24"/>
      <c r="O655" s="8"/>
      <c r="P655" s="24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24"/>
      <c r="N656" s="24"/>
      <c r="O656" s="8"/>
      <c r="P656" s="24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24"/>
      <c r="N657" s="24"/>
      <c r="O657" s="8"/>
      <c r="P657" s="24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24"/>
      <c r="N658" s="24"/>
      <c r="O658" s="8"/>
      <c r="P658" s="24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24"/>
      <c r="N659" s="24"/>
      <c r="O659" s="8"/>
      <c r="P659" s="24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24"/>
      <c r="N660" s="24"/>
      <c r="O660" s="8"/>
      <c r="P660" s="24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24"/>
      <c r="N661" s="24"/>
      <c r="O661" s="8"/>
      <c r="P661" s="24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24"/>
      <c r="N662" s="24"/>
      <c r="O662" s="8"/>
      <c r="P662" s="24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24"/>
      <c r="N663" s="24"/>
      <c r="O663" s="8"/>
      <c r="P663" s="24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24"/>
      <c r="N664" s="24"/>
      <c r="O664" s="8"/>
      <c r="P664" s="24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24"/>
      <c r="N665" s="24"/>
      <c r="O665" s="8"/>
      <c r="P665" s="24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24"/>
      <c r="N666" s="24"/>
      <c r="O666" s="8"/>
      <c r="P666" s="24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24"/>
      <c r="N667" s="24"/>
      <c r="O667" s="8"/>
      <c r="P667" s="24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24"/>
      <c r="N668" s="24"/>
      <c r="O668" s="8"/>
      <c r="P668" s="24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24"/>
      <c r="N669" s="24"/>
      <c r="O669" s="8"/>
      <c r="P669" s="24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24"/>
      <c r="N670" s="24"/>
      <c r="O670" s="8"/>
      <c r="P670" s="24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24"/>
      <c r="N671" s="24"/>
      <c r="O671" s="8"/>
      <c r="P671" s="24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24"/>
      <c r="N672" s="24"/>
      <c r="O672" s="8"/>
      <c r="P672" s="24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24"/>
      <c r="N673" s="24"/>
      <c r="O673" s="8"/>
      <c r="P673" s="24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24"/>
      <c r="N674" s="24"/>
      <c r="O674" s="8"/>
      <c r="P674" s="24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24"/>
      <c r="N675" s="24"/>
      <c r="O675" s="8"/>
      <c r="P675" s="24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24"/>
      <c r="N676" s="24"/>
      <c r="O676" s="8"/>
      <c r="P676" s="24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24"/>
      <c r="N677" s="24"/>
      <c r="O677" s="8"/>
      <c r="P677" s="24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24"/>
      <c r="N678" s="24"/>
      <c r="O678" s="8"/>
      <c r="P678" s="24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24"/>
      <c r="N679" s="24"/>
      <c r="O679" s="8"/>
      <c r="P679" s="24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24"/>
      <c r="N680" s="24"/>
      <c r="O680" s="8"/>
      <c r="P680" s="24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24"/>
      <c r="N681" s="24"/>
      <c r="O681" s="8"/>
      <c r="P681" s="24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24"/>
      <c r="N682" s="24"/>
      <c r="O682" s="8"/>
      <c r="P682" s="24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24"/>
      <c r="N683" s="24"/>
      <c r="O683" s="8"/>
      <c r="P683" s="24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24"/>
      <c r="N684" s="24"/>
      <c r="O684" s="8"/>
      <c r="P684" s="24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24"/>
      <c r="N685" s="24"/>
      <c r="O685" s="8"/>
      <c r="P685" s="24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24"/>
      <c r="N686" s="24"/>
      <c r="O686" s="8"/>
      <c r="P686" s="24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24"/>
      <c r="N687" s="24"/>
      <c r="O687" s="8"/>
      <c r="P687" s="24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24"/>
      <c r="N688" s="24"/>
      <c r="O688" s="8"/>
      <c r="P688" s="24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24"/>
      <c r="N689" s="24"/>
      <c r="O689" s="8"/>
      <c r="P689" s="24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24"/>
      <c r="N690" s="24"/>
      <c r="O690" s="8"/>
      <c r="P690" s="24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24"/>
      <c r="N691" s="24"/>
      <c r="O691" s="8"/>
      <c r="P691" s="24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24"/>
      <c r="N692" s="24"/>
      <c r="O692" s="8"/>
      <c r="P692" s="24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24"/>
      <c r="N693" s="24"/>
      <c r="O693" s="8"/>
      <c r="P693" s="24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24"/>
      <c r="N694" s="24"/>
      <c r="O694" s="8"/>
      <c r="P694" s="24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24"/>
      <c r="N695" s="24"/>
      <c r="O695" s="8"/>
      <c r="P695" s="24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24"/>
      <c r="N696" s="24"/>
      <c r="O696" s="8"/>
      <c r="P696" s="24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24"/>
      <c r="N697" s="24"/>
      <c r="O697" s="8"/>
      <c r="P697" s="24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24"/>
      <c r="N698" s="24"/>
      <c r="O698" s="8"/>
      <c r="P698" s="24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24"/>
      <c r="N699" s="24"/>
      <c r="O699" s="8"/>
      <c r="P699" s="24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24"/>
      <c r="N700" s="24"/>
      <c r="O700" s="8"/>
      <c r="P700" s="24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24"/>
      <c r="N701" s="24"/>
      <c r="O701" s="8"/>
      <c r="P701" s="24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24"/>
      <c r="N702" s="24"/>
      <c r="O702" s="8"/>
      <c r="P702" s="24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24"/>
      <c r="N703" s="24"/>
      <c r="O703" s="8"/>
      <c r="P703" s="24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24"/>
      <c r="N704" s="24"/>
      <c r="O704" s="8"/>
      <c r="P704" s="24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24"/>
      <c r="N705" s="24"/>
      <c r="O705" s="8"/>
      <c r="P705" s="24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24"/>
      <c r="N706" s="24"/>
      <c r="O706" s="8"/>
      <c r="P706" s="24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24"/>
      <c r="N707" s="24"/>
      <c r="O707" s="8"/>
      <c r="P707" s="24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24"/>
      <c r="N708" s="24"/>
      <c r="O708" s="8"/>
      <c r="P708" s="24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24"/>
      <c r="N709" s="24"/>
      <c r="O709" s="8"/>
      <c r="P709" s="24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24"/>
      <c r="N710" s="24"/>
      <c r="O710" s="8"/>
      <c r="P710" s="24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24"/>
      <c r="N711" s="24"/>
      <c r="O711" s="8"/>
      <c r="P711" s="24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24"/>
      <c r="N712" s="24"/>
      <c r="O712" s="8"/>
      <c r="P712" s="24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24"/>
      <c r="N713" s="24"/>
      <c r="O713" s="8"/>
      <c r="P713" s="24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24"/>
      <c r="N714" s="24"/>
      <c r="O714" s="8"/>
      <c r="P714" s="24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24"/>
      <c r="N715" s="24"/>
      <c r="O715" s="8"/>
      <c r="P715" s="24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24"/>
      <c r="N716" s="24"/>
      <c r="O716" s="8"/>
      <c r="P716" s="24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24"/>
      <c r="N717" s="24"/>
      <c r="O717" s="8"/>
      <c r="P717" s="24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24"/>
      <c r="N718" s="24"/>
      <c r="O718" s="8"/>
      <c r="P718" s="24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24"/>
      <c r="N719" s="24"/>
      <c r="O719" s="8"/>
      <c r="P719" s="24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24"/>
      <c r="N720" s="24"/>
      <c r="O720" s="8"/>
      <c r="P720" s="24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24"/>
      <c r="N721" s="24"/>
      <c r="O721" s="8"/>
      <c r="P721" s="24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24"/>
      <c r="N722" s="24"/>
      <c r="O722" s="8"/>
      <c r="P722" s="24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24"/>
      <c r="N723" s="24"/>
      <c r="O723" s="8"/>
      <c r="P723" s="24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24"/>
      <c r="N724" s="24"/>
      <c r="O724" s="8"/>
      <c r="P724" s="24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24"/>
      <c r="N725" s="24"/>
      <c r="O725" s="8"/>
      <c r="P725" s="24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24"/>
      <c r="N726" s="24"/>
      <c r="O726" s="8"/>
      <c r="P726" s="24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24"/>
      <c r="N727" s="24"/>
      <c r="O727" s="8"/>
      <c r="P727" s="24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24"/>
      <c r="N728" s="24"/>
      <c r="O728" s="8"/>
      <c r="P728" s="24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24"/>
      <c r="N729" s="24"/>
      <c r="O729" s="8"/>
      <c r="P729" s="24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24"/>
      <c r="N730" s="24"/>
      <c r="O730" s="8"/>
      <c r="P730" s="24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24"/>
      <c r="N731" s="24"/>
      <c r="O731" s="8"/>
      <c r="P731" s="24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24"/>
      <c r="N732" s="24"/>
      <c r="O732" s="8"/>
      <c r="P732" s="24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24"/>
      <c r="N733" s="24"/>
      <c r="O733" s="8"/>
      <c r="P733" s="24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24"/>
      <c r="N734" s="24"/>
      <c r="O734" s="8"/>
      <c r="P734" s="24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24"/>
      <c r="N735" s="24"/>
      <c r="O735" s="8"/>
      <c r="P735" s="24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24"/>
      <c r="N736" s="24"/>
      <c r="O736" s="8"/>
      <c r="P736" s="24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24"/>
      <c r="N737" s="24"/>
      <c r="O737" s="8"/>
      <c r="P737" s="24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24"/>
      <c r="N738" s="24"/>
      <c r="O738" s="8"/>
      <c r="P738" s="24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24"/>
      <c r="N739" s="24"/>
      <c r="O739" s="8"/>
      <c r="P739" s="24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24"/>
      <c r="N740" s="24"/>
      <c r="O740" s="8"/>
      <c r="P740" s="24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24"/>
      <c r="N741" s="24"/>
      <c r="O741" s="8"/>
      <c r="P741" s="24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24"/>
      <c r="N742" s="24"/>
      <c r="O742" s="8"/>
      <c r="P742" s="24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24"/>
      <c r="N743" s="24"/>
      <c r="O743" s="8"/>
      <c r="P743" s="24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24"/>
      <c r="N744" s="24"/>
      <c r="O744" s="8"/>
      <c r="P744" s="24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24"/>
      <c r="N745" s="24"/>
      <c r="O745" s="8"/>
      <c r="P745" s="24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24"/>
      <c r="N746" s="24"/>
      <c r="O746" s="8"/>
      <c r="P746" s="24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24"/>
      <c r="N747" s="24"/>
      <c r="O747" s="8"/>
      <c r="P747" s="24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24"/>
      <c r="N748" s="24"/>
      <c r="O748" s="8"/>
      <c r="P748" s="24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24"/>
      <c r="N749" s="24"/>
      <c r="O749" s="8"/>
      <c r="P749" s="24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24"/>
      <c r="N750" s="24"/>
      <c r="O750" s="8"/>
      <c r="P750" s="24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24"/>
      <c r="N751" s="24"/>
      <c r="O751" s="8"/>
      <c r="P751" s="24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24"/>
      <c r="N752" s="24"/>
      <c r="O752" s="8"/>
      <c r="P752" s="24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24"/>
      <c r="N753" s="24"/>
      <c r="O753" s="8"/>
      <c r="P753" s="24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24"/>
      <c r="N754" s="24"/>
      <c r="O754" s="8"/>
      <c r="P754" s="24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24"/>
      <c r="N755" s="24"/>
      <c r="O755" s="8"/>
      <c r="P755" s="24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24"/>
      <c r="N756" s="24"/>
      <c r="O756" s="8"/>
      <c r="P756" s="24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24"/>
      <c r="N757" s="24"/>
      <c r="O757" s="8"/>
      <c r="P757" s="24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24"/>
      <c r="N758" s="24"/>
      <c r="O758" s="8"/>
      <c r="P758" s="24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24"/>
      <c r="N759" s="24"/>
      <c r="O759" s="8"/>
      <c r="P759" s="24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24"/>
      <c r="N760" s="24"/>
      <c r="O760" s="8"/>
      <c r="P760" s="24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24"/>
      <c r="N761" s="24"/>
      <c r="O761" s="8"/>
      <c r="P761" s="24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24"/>
      <c r="N762" s="24"/>
      <c r="O762" s="8"/>
      <c r="P762" s="24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24"/>
      <c r="N763" s="24"/>
      <c r="O763" s="8"/>
      <c r="P763" s="24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24"/>
      <c r="N764" s="24"/>
      <c r="O764" s="8"/>
      <c r="P764" s="24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24"/>
      <c r="N765" s="24"/>
      <c r="O765" s="8"/>
      <c r="P765" s="24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24"/>
      <c r="N766" s="24"/>
      <c r="O766" s="8"/>
      <c r="P766" s="24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24"/>
      <c r="N767" s="24"/>
      <c r="O767" s="8"/>
      <c r="P767" s="24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24"/>
      <c r="N768" s="24"/>
      <c r="O768" s="8"/>
      <c r="P768" s="24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24"/>
      <c r="N769" s="24"/>
      <c r="O769" s="8"/>
      <c r="P769" s="24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24"/>
      <c r="N770" s="24"/>
      <c r="O770" s="8"/>
      <c r="P770" s="24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24"/>
      <c r="N771" s="24"/>
      <c r="O771" s="8"/>
      <c r="P771" s="24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24"/>
      <c r="N772" s="24"/>
      <c r="O772" s="8"/>
      <c r="P772" s="24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24"/>
      <c r="N773" s="24"/>
      <c r="O773" s="8"/>
      <c r="P773" s="24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24"/>
      <c r="N774" s="24"/>
      <c r="O774" s="8"/>
      <c r="P774" s="24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24"/>
      <c r="N775" s="24"/>
      <c r="O775" s="8"/>
      <c r="P775" s="24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24"/>
      <c r="N776" s="24"/>
      <c r="O776" s="8"/>
      <c r="P776" s="24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24"/>
      <c r="N777" s="24"/>
      <c r="O777" s="8"/>
      <c r="P777" s="24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24"/>
      <c r="N778" s="24"/>
      <c r="O778" s="8"/>
      <c r="P778" s="24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24"/>
      <c r="N779" s="24"/>
      <c r="O779" s="8"/>
      <c r="P779" s="24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24"/>
      <c r="N780" s="24"/>
      <c r="O780" s="8"/>
      <c r="P780" s="24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24"/>
      <c r="N781" s="24"/>
      <c r="O781" s="8"/>
      <c r="P781" s="24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24"/>
      <c r="N782" s="24"/>
      <c r="O782" s="8"/>
      <c r="P782" s="24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24"/>
      <c r="N783" s="24"/>
      <c r="O783" s="8"/>
      <c r="P783" s="24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24"/>
      <c r="N784" s="24"/>
      <c r="O784" s="8"/>
      <c r="P784" s="24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24"/>
      <c r="N785" s="24"/>
      <c r="O785" s="8"/>
      <c r="P785" s="24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24"/>
      <c r="N786" s="24"/>
      <c r="O786" s="8"/>
      <c r="P786" s="24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24"/>
      <c r="N787" s="24"/>
      <c r="O787" s="8"/>
      <c r="P787" s="24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24"/>
      <c r="N788" s="24"/>
      <c r="O788" s="8"/>
      <c r="P788" s="24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24"/>
      <c r="N789" s="24"/>
      <c r="O789" s="8"/>
      <c r="P789" s="24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24"/>
      <c r="N790" s="24"/>
      <c r="O790" s="8"/>
      <c r="P790" s="24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24"/>
      <c r="N791" s="24"/>
      <c r="O791" s="8"/>
      <c r="P791" s="24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24"/>
      <c r="N792" s="24"/>
      <c r="O792" s="8"/>
      <c r="P792" s="24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24"/>
      <c r="N793" s="24"/>
      <c r="O793" s="8"/>
      <c r="P793" s="24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24"/>
      <c r="N794" s="24"/>
      <c r="O794" s="8"/>
      <c r="P794" s="24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24"/>
      <c r="N795" s="24"/>
      <c r="O795" s="8"/>
      <c r="P795" s="24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24"/>
      <c r="N796" s="24"/>
      <c r="O796" s="8"/>
      <c r="P796" s="24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24"/>
      <c r="N797" s="24"/>
      <c r="O797" s="8"/>
      <c r="P797" s="24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24"/>
      <c r="N798" s="24"/>
      <c r="O798" s="8"/>
      <c r="P798" s="24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24"/>
      <c r="N799" s="24"/>
      <c r="O799" s="8"/>
      <c r="P799" s="24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24"/>
      <c r="N800" s="24"/>
      <c r="O800" s="8"/>
      <c r="P800" s="24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24"/>
      <c r="N801" s="24"/>
      <c r="O801" s="8"/>
      <c r="P801" s="24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24"/>
      <c r="N802" s="24"/>
      <c r="O802" s="8"/>
      <c r="P802" s="24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24"/>
      <c r="N803" s="24"/>
      <c r="O803" s="8"/>
      <c r="P803" s="24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24"/>
      <c r="N804" s="24"/>
      <c r="O804" s="8"/>
      <c r="P804" s="24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24"/>
      <c r="N805" s="24"/>
      <c r="O805" s="8"/>
      <c r="P805" s="24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24"/>
      <c r="N806" s="24"/>
      <c r="O806" s="8"/>
      <c r="P806" s="24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24"/>
      <c r="N807" s="24"/>
      <c r="O807" s="8"/>
      <c r="P807" s="24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24"/>
      <c r="N808" s="24"/>
      <c r="O808" s="8"/>
      <c r="P808" s="24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24"/>
      <c r="N809" s="24"/>
      <c r="O809" s="8"/>
      <c r="P809" s="24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24"/>
      <c r="N810" s="24"/>
      <c r="O810" s="8"/>
      <c r="P810" s="24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24"/>
      <c r="N811" s="24"/>
      <c r="O811" s="8"/>
      <c r="P811" s="24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24"/>
      <c r="N812" s="24"/>
      <c r="O812" s="8"/>
      <c r="P812" s="24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24"/>
      <c r="N813" s="24"/>
      <c r="O813" s="8"/>
      <c r="P813" s="24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24"/>
      <c r="N814" s="24"/>
      <c r="O814" s="8"/>
      <c r="P814" s="24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24"/>
      <c r="N815" s="24"/>
      <c r="O815" s="8"/>
      <c r="P815" s="24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24"/>
      <c r="N816" s="24"/>
      <c r="O816" s="8"/>
      <c r="P816" s="24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24"/>
      <c r="N817" s="24"/>
      <c r="O817" s="8"/>
      <c r="P817" s="24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24"/>
      <c r="N818" s="24"/>
      <c r="O818" s="8"/>
      <c r="P818" s="24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24"/>
      <c r="N819" s="24"/>
      <c r="O819" s="8"/>
      <c r="P819" s="24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24"/>
      <c r="N820" s="24"/>
      <c r="O820" s="8"/>
      <c r="P820" s="24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24"/>
      <c r="N821" s="24"/>
      <c r="O821" s="8"/>
      <c r="P821" s="24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24"/>
      <c r="N822" s="24"/>
      <c r="O822" s="8"/>
      <c r="P822" s="24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24"/>
      <c r="N823" s="24"/>
      <c r="O823" s="8"/>
      <c r="P823" s="24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24"/>
      <c r="N824" s="24"/>
      <c r="O824" s="8"/>
      <c r="P824" s="24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24"/>
      <c r="N825" s="24"/>
      <c r="O825" s="8"/>
      <c r="P825" s="24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24"/>
      <c r="N826" s="24"/>
      <c r="O826" s="8"/>
      <c r="P826" s="24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24"/>
      <c r="N827" s="24"/>
      <c r="O827" s="8"/>
      <c r="P827" s="24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24"/>
      <c r="N828" s="24"/>
      <c r="O828" s="8"/>
      <c r="P828" s="24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24"/>
      <c r="N829" s="24"/>
      <c r="O829" s="8"/>
      <c r="P829" s="24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24"/>
      <c r="N830" s="24"/>
      <c r="O830" s="8"/>
      <c r="P830" s="24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24"/>
      <c r="N831" s="24"/>
      <c r="O831" s="8"/>
      <c r="P831" s="24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24"/>
      <c r="N832" s="24"/>
      <c r="O832" s="8"/>
      <c r="P832" s="24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24"/>
      <c r="N833" s="24"/>
      <c r="O833" s="8"/>
      <c r="P833" s="24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24"/>
      <c r="N834" s="24"/>
      <c r="O834" s="8"/>
      <c r="P834" s="24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24"/>
      <c r="N835" s="24"/>
      <c r="O835" s="8"/>
      <c r="P835" s="24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24"/>
      <c r="N836" s="24"/>
      <c r="O836" s="8"/>
      <c r="P836" s="24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24"/>
      <c r="N837" s="24"/>
      <c r="O837" s="8"/>
      <c r="P837" s="24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24"/>
      <c r="N838" s="24"/>
      <c r="O838" s="8"/>
      <c r="P838" s="24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24"/>
      <c r="N839" s="24"/>
      <c r="O839" s="8"/>
      <c r="P839" s="24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24"/>
      <c r="N840" s="24"/>
      <c r="O840" s="8"/>
      <c r="P840" s="24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24"/>
      <c r="N841" s="24"/>
      <c r="O841" s="8"/>
      <c r="P841" s="24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24"/>
      <c r="N842" s="24"/>
      <c r="O842" s="8"/>
      <c r="P842" s="24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24"/>
      <c r="N843" s="24"/>
      <c r="O843" s="8"/>
      <c r="P843" s="24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24"/>
      <c r="N844" s="24"/>
      <c r="O844" s="8"/>
      <c r="P844" s="24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24"/>
      <c r="N845" s="24"/>
      <c r="O845" s="8"/>
      <c r="P845" s="24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24"/>
      <c r="N846" s="24"/>
      <c r="O846" s="8"/>
      <c r="P846" s="24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24"/>
      <c r="N847" s="24"/>
      <c r="O847" s="8"/>
      <c r="P847" s="24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24"/>
      <c r="N848" s="24"/>
      <c r="O848" s="8"/>
      <c r="P848" s="24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24"/>
      <c r="N849" s="24"/>
      <c r="O849" s="8"/>
      <c r="P849" s="24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24"/>
      <c r="N850" s="24"/>
      <c r="O850" s="8"/>
      <c r="P850" s="24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24"/>
      <c r="N851" s="24"/>
      <c r="O851" s="8"/>
      <c r="P851" s="24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24"/>
      <c r="N852" s="24"/>
      <c r="O852" s="8"/>
      <c r="P852" s="24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24"/>
      <c r="N853" s="24"/>
      <c r="O853" s="8"/>
      <c r="P853" s="24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24"/>
      <c r="N854" s="24"/>
      <c r="O854" s="8"/>
      <c r="P854" s="24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24"/>
      <c r="N855" s="24"/>
      <c r="O855" s="8"/>
      <c r="P855" s="24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24"/>
      <c r="N856" s="24"/>
      <c r="O856" s="8"/>
      <c r="P856" s="24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24"/>
      <c r="N857" s="24"/>
      <c r="O857" s="8"/>
      <c r="P857" s="24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24"/>
      <c r="N858" s="24"/>
      <c r="O858" s="8"/>
      <c r="P858" s="24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24"/>
      <c r="N859" s="24"/>
      <c r="O859" s="8"/>
      <c r="P859" s="24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24"/>
      <c r="N860" s="24"/>
      <c r="O860" s="8"/>
      <c r="P860" s="24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24"/>
      <c r="N861" s="24"/>
      <c r="O861" s="8"/>
      <c r="P861" s="24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24"/>
      <c r="N862" s="24"/>
      <c r="O862" s="8"/>
      <c r="P862" s="24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24"/>
      <c r="N863" s="24"/>
      <c r="O863" s="8"/>
      <c r="P863" s="24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24"/>
      <c r="N864" s="24"/>
      <c r="O864" s="8"/>
      <c r="P864" s="24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24"/>
      <c r="N865" s="24"/>
      <c r="O865" s="8"/>
      <c r="P865" s="24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24"/>
      <c r="N866" s="24"/>
      <c r="O866" s="8"/>
      <c r="P866" s="24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24"/>
      <c r="N867" s="24"/>
      <c r="O867" s="8"/>
      <c r="P867" s="24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24"/>
      <c r="N868" s="24"/>
      <c r="O868" s="8"/>
      <c r="P868" s="24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24"/>
      <c r="N869" s="24"/>
      <c r="O869" s="8"/>
      <c r="P869" s="24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24"/>
      <c r="N870" s="24"/>
      <c r="O870" s="8"/>
      <c r="P870" s="24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24"/>
      <c r="N871" s="24"/>
      <c r="O871" s="8"/>
      <c r="P871" s="24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24"/>
      <c r="N872" s="24"/>
      <c r="O872" s="8"/>
      <c r="P872" s="24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24"/>
      <c r="N873" s="24"/>
      <c r="O873" s="8"/>
      <c r="P873" s="24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24"/>
      <c r="N874" s="24"/>
      <c r="O874" s="8"/>
      <c r="P874" s="24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24"/>
      <c r="N875" s="24"/>
      <c r="O875" s="8"/>
      <c r="P875" s="24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24"/>
      <c r="N876" s="24"/>
      <c r="O876" s="8"/>
      <c r="P876" s="24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24"/>
      <c r="N877" s="24"/>
      <c r="O877" s="8"/>
      <c r="P877" s="24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24"/>
      <c r="N878" s="24"/>
      <c r="O878" s="8"/>
      <c r="P878" s="24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24"/>
      <c r="N879" s="24"/>
      <c r="O879" s="8"/>
      <c r="P879" s="24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24"/>
      <c r="N880" s="24"/>
      <c r="O880" s="8"/>
      <c r="P880" s="24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24"/>
      <c r="N881" s="24"/>
      <c r="O881" s="8"/>
      <c r="P881" s="24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24"/>
      <c r="N882" s="24"/>
      <c r="O882" s="8"/>
      <c r="P882" s="24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24"/>
      <c r="N883" s="24"/>
      <c r="O883" s="8"/>
      <c r="P883" s="24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24"/>
      <c r="N884" s="24"/>
      <c r="O884" s="8"/>
      <c r="P884" s="24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24"/>
      <c r="N885" s="24"/>
      <c r="O885" s="8"/>
      <c r="P885" s="24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24"/>
      <c r="N886" s="24"/>
      <c r="O886" s="8"/>
      <c r="P886" s="24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24"/>
      <c r="N887" s="24"/>
      <c r="O887" s="8"/>
      <c r="P887" s="24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24"/>
      <c r="N888" s="24"/>
      <c r="O888" s="8"/>
      <c r="P888" s="24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24"/>
      <c r="N889" s="24"/>
      <c r="O889" s="8"/>
      <c r="P889" s="24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24"/>
      <c r="N890" s="24"/>
      <c r="O890" s="8"/>
      <c r="P890" s="24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24"/>
      <c r="N891" s="24"/>
      <c r="O891" s="8"/>
      <c r="P891" s="24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24"/>
      <c r="N892" s="24"/>
      <c r="O892" s="8"/>
      <c r="P892" s="24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24"/>
      <c r="N893" s="24"/>
      <c r="O893" s="8"/>
      <c r="P893" s="24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24"/>
      <c r="N894" s="24"/>
      <c r="O894" s="8"/>
      <c r="P894" s="24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24"/>
      <c r="N895" s="24"/>
      <c r="O895" s="8"/>
      <c r="P895" s="24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24"/>
      <c r="N896" s="24"/>
      <c r="O896" s="8"/>
      <c r="P896" s="24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24"/>
      <c r="N897" s="24"/>
      <c r="O897" s="8"/>
      <c r="P897" s="24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24"/>
      <c r="N898" s="24"/>
      <c r="O898" s="8"/>
      <c r="P898" s="24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24"/>
      <c r="N899" s="24"/>
      <c r="O899" s="8"/>
      <c r="P899" s="24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24"/>
      <c r="N900" s="24"/>
      <c r="O900" s="8"/>
      <c r="P900" s="24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24"/>
      <c r="N901" s="24"/>
      <c r="O901" s="8"/>
      <c r="P901" s="24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24"/>
      <c r="N902" s="24"/>
      <c r="O902" s="8"/>
      <c r="P902" s="24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24"/>
      <c r="N903" s="24"/>
      <c r="O903" s="8"/>
      <c r="P903" s="24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24"/>
      <c r="N904" s="24"/>
      <c r="O904" s="8"/>
      <c r="P904" s="24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24"/>
      <c r="N905" s="24"/>
      <c r="O905" s="8"/>
      <c r="P905" s="24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24"/>
      <c r="N906" s="24"/>
      <c r="O906" s="8"/>
      <c r="P906" s="24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24"/>
      <c r="N907" s="24"/>
      <c r="O907" s="8"/>
      <c r="P907" s="24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24"/>
      <c r="N908" s="24"/>
      <c r="O908" s="8"/>
      <c r="P908" s="24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24"/>
      <c r="N909" s="24"/>
      <c r="O909" s="8"/>
      <c r="P909" s="24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24"/>
      <c r="N910" s="24"/>
      <c r="O910" s="8"/>
      <c r="P910" s="24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24"/>
      <c r="N911" s="24"/>
      <c r="O911" s="8"/>
      <c r="P911" s="24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24"/>
      <c r="N912" s="24"/>
      <c r="O912" s="8"/>
      <c r="P912" s="24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24"/>
      <c r="N913" s="24"/>
      <c r="O913" s="8"/>
      <c r="P913" s="24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24"/>
      <c r="N914" s="24"/>
      <c r="O914" s="8"/>
      <c r="P914" s="24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24"/>
      <c r="N915" s="24"/>
      <c r="O915" s="8"/>
      <c r="P915" s="24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24"/>
      <c r="N916" s="24"/>
      <c r="O916" s="8"/>
      <c r="P916" s="24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24"/>
      <c r="N917" s="24"/>
      <c r="O917" s="8"/>
      <c r="P917" s="24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24"/>
      <c r="N918" s="24"/>
      <c r="O918" s="8"/>
      <c r="P918" s="24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24"/>
      <c r="N919" s="24"/>
      <c r="O919" s="8"/>
      <c r="P919" s="24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24"/>
      <c r="N920" s="24"/>
      <c r="O920" s="8"/>
      <c r="P920" s="24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24"/>
      <c r="N921" s="24"/>
      <c r="O921" s="8"/>
      <c r="P921" s="24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24"/>
      <c r="N922" s="24"/>
      <c r="O922" s="8"/>
      <c r="P922" s="24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24"/>
      <c r="N923" s="24"/>
      <c r="O923" s="8"/>
      <c r="P923" s="24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24"/>
      <c r="N924" s="24"/>
      <c r="O924" s="8"/>
      <c r="P924" s="24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24"/>
      <c r="N925" s="24"/>
      <c r="O925" s="8"/>
      <c r="P925" s="24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24"/>
      <c r="N926" s="24"/>
      <c r="O926" s="8"/>
      <c r="P926" s="24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24"/>
      <c r="N927" s="24"/>
      <c r="O927" s="8"/>
      <c r="P927" s="24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24"/>
      <c r="N928" s="24"/>
      <c r="O928" s="8"/>
      <c r="P928" s="24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24"/>
      <c r="N929" s="24"/>
      <c r="O929" s="8"/>
      <c r="P929" s="24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24"/>
      <c r="N930" s="24"/>
      <c r="O930" s="8"/>
      <c r="P930" s="24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24"/>
      <c r="N931" s="24"/>
      <c r="O931" s="8"/>
      <c r="P931" s="24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24"/>
      <c r="N932" s="24"/>
      <c r="O932" s="8"/>
      <c r="P932" s="24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24"/>
      <c r="N933" s="24"/>
      <c r="O933" s="8"/>
      <c r="P933" s="24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24"/>
      <c r="N934" s="24"/>
      <c r="O934" s="8"/>
      <c r="P934" s="24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24"/>
      <c r="N935" s="24"/>
      <c r="O935" s="8"/>
      <c r="P935" s="24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24"/>
      <c r="N936" s="24"/>
      <c r="O936" s="8"/>
      <c r="P936" s="24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24"/>
      <c r="N937" s="24"/>
      <c r="O937" s="8"/>
      <c r="P937" s="24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24"/>
      <c r="N938" s="24"/>
      <c r="O938" s="8"/>
      <c r="P938" s="24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24"/>
      <c r="N939" s="24"/>
      <c r="O939" s="8"/>
      <c r="P939" s="24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24"/>
      <c r="N940" s="24"/>
      <c r="O940" s="8"/>
      <c r="P940" s="24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24"/>
      <c r="N941" s="24"/>
      <c r="O941" s="8"/>
      <c r="P941" s="24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24"/>
      <c r="N942" s="24"/>
      <c r="O942" s="8"/>
      <c r="P942" s="24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24"/>
      <c r="N943" s="24"/>
      <c r="O943" s="8"/>
      <c r="P943" s="24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24"/>
      <c r="N944" s="24"/>
      <c r="O944" s="8"/>
      <c r="P944" s="24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24"/>
      <c r="N945" s="24"/>
      <c r="O945" s="8"/>
      <c r="P945" s="24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24"/>
      <c r="N946" s="24"/>
      <c r="O946" s="8"/>
      <c r="P946" s="24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24"/>
      <c r="N947" s="24"/>
      <c r="O947" s="8"/>
      <c r="P947" s="24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24"/>
      <c r="N948" s="24"/>
      <c r="O948" s="8"/>
      <c r="P948" s="24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24"/>
      <c r="N949" s="24"/>
      <c r="O949" s="8"/>
      <c r="P949" s="24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24"/>
      <c r="N950" s="24"/>
      <c r="O950" s="8"/>
      <c r="P950" s="24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24"/>
      <c r="N951" s="24"/>
      <c r="O951" s="8"/>
      <c r="P951" s="24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24"/>
      <c r="N952" s="24"/>
      <c r="O952" s="8"/>
      <c r="P952" s="24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24"/>
      <c r="N953" s="24"/>
      <c r="O953" s="8"/>
      <c r="P953" s="24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24"/>
      <c r="N954" s="24"/>
      <c r="O954" s="8"/>
      <c r="P954" s="24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24"/>
      <c r="N955" s="24"/>
      <c r="O955" s="8"/>
      <c r="P955" s="24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24"/>
      <c r="N956" s="24"/>
      <c r="O956" s="8"/>
      <c r="P956" s="24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24"/>
      <c r="N957" s="24"/>
      <c r="O957" s="8"/>
      <c r="P957" s="24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24"/>
      <c r="N958" s="24"/>
      <c r="O958" s="8"/>
      <c r="P958" s="24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24"/>
      <c r="N959" s="24"/>
      <c r="O959" s="8"/>
      <c r="P959" s="24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24"/>
      <c r="N960" s="24"/>
      <c r="O960" s="8"/>
      <c r="P960" s="24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24"/>
      <c r="N961" s="24"/>
      <c r="O961" s="8"/>
      <c r="P961" s="24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24"/>
      <c r="N962" s="24"/>
      <c r="O962" s="8"/>
      <c r="P962" s="24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24"/>
      <c r="N963" s="24"/>
      <c r="O963" s="8"/>
      <c r="P963" s="24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24"/>
      <c r="N964" s="24"/>
      <c r="O964" s="8"/>
      <c r="P964" s="24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24"/>
      <c r="N965" s="24"/>
      <c r="O965" s="8"/>
      <c r="P965" s="24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24"/>
      <c r="N966" s="24"/>
      <c r="O966" s="8"/>
      <c r="P966" s="24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24"/>
      <c r="N967" s="24"/>
      <c r="O967" s="8"/>
      <c r="P967" s="24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24"/>
      <c r="N968" s="24"/>
      <c r="O968" s="8"/>
      <c r="P968" s="24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24"/>
      <c r="N969" s="24"/>
      <c r="O969" s="8"/>
      <c r="P969" s="24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24"/>
      <c r="N970" s="24"/>
      <c r="O970" s="8"/>
      <c r="P970" s="24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24"/>
      <c r="N971" s="24"/>
      <c r="O971" s="8"/>
      <c r="P971" s="24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24"/>
      <c r="N972" s="24"/>
      <c r="O972" s="8"/>
      <c r="P972" s="24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24"/>
      <c r="N973" s="24"/>
      <c r="O973" s="8"/>
      <c r="P973" s="24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24"/>
      <c r="N974" s="24"/>
      <c r="O974" s="8"/>
      <c r="P974" s="24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24"/>
      <c r="N975" s="24"/>
      <c r="O975" s="8"/>
      <c r="P975" s="24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24"/>
      <c r="N976" s="24"/>
      <c r="O976" s="8"/>
      <c r="P976" s="24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24"/>
      <c r="N977" s="24"/>
      <c r="O977" s="8"/>
      <c r="P977" s="24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24"/>
      <c r="N978" s="24"/>
      <c r="O978" s="8"/>
      <c r="P978" s="24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24"/>
      <c r="N979" s="24"/>
      <c r="O979" s="8"/>
      <c r="P979" s="24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24"/>
      <c r="N980" s="24"/>
      <c r="O980" s="8"/>
      <c r="P980" s="24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24"/>
      <c r="N981" s="24"/>
      <c r="O981" s="8"/>
      <c r="P981" s="24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24"/>
      <c r="N982" s="24"/>
      <c r="O982" s="8"/>
      <c r="P982" s="24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24"/>
      <c r="N983" s="24"/>
      <c r="O983" s="8"/>
      <c r="P983" s="24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24"/>
      <c r="N984" s="24"/>
      <c r="O984" s="8"/>
      <c r="P984" s="24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24"/>
      <c r="N985" s="24"/>
      <c r="O985" s="8"/>
      <c r="P985" s="24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24"/>
      <c r="N986" s="24"/>
      <c r="O986" s="8"/>
      <c r="P986" s="24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24"/>
      <c r="N987" s="24"/>
      <c r="O987" s="8"/>
      <c r="P987" s="24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24"/>
      <c r="N988" s="24"/>
      <c r="O988" s="8"/>
      <c r="P988" s="24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24"/>
      <c r="N989" s="24"/>
      <c r="O989" s="8"/>
      <c r="P989" s="24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24"/>
      <c r="N990" s="24"/>
      <c r="O990" s="8"/>
      <c r="P990" s="24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24"/>
      <c r="N991" s="24"/>
      <c r="O991" s="8"/>
      <c r="P991" s="24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24"/>
      <c r="N992" s="24"/>
      <c r="O992" s="8"/>
      <c r="P992" s="24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24"/>
      <c r="N993" s="24"/>
      <c r="O993" s="8"/>
      <c r="P993" s="24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24"/>
      <c r="N994" s="24"/>
      <c r="O994" s="8"/>
      <c r="P994" s="24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24"/>
      <c r="N995" s="24"/>
      <c r="O995" s="8"/>
      <c r="P995" s="24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24"/>
      <c r="N996" s="24"/>
      <c r="O996" s="8"/>
      <c r="P996" s="24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" x14ac:dyDescent="0.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24"/>
      <c r="N997" s="24"/>
      <c r="O997" s="8"/>
      <c r="P997" s="24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" x14ac:dyDescent="0.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24"/>
      <c r="N998" s="24"/>
      <c r="O998" s="8"/>
      <c r="P998" s="24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" x14ac:dyDescent="0.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24"/>
      <c r="N999" s="24"/>
      <c r="O999" s="8"/>
      <c r="P999" s="24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" x14ac:dyDescent="0.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24"/>
      <c r="N1000" s="24"/>
      <c r="O1000" s="8"/>
      <c r="P1000" s="24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3" x14ac:dyDescent="0.1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24"/>
      <c r="N1001" s="24"/>
      <c r="O1001" s="8"/>
      <c r="P1001" s="24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3" x14ac:dyDescent="0.1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24"/>
      <c r="N1002" s="24"/>
      <c r="O1002" s="8"/>
      <c r="P1002" s="24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3" x14ac:dyDescent="0.1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24"/>
      <c r="N1003" s="24"/>
      <c r="O1003" s="8"/>
      <c r="P1003" s="24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3" x14ac:dyDescent="0.1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24"/>
      <c r="N1004" s="24"/>
      <c r="O1004" s="8"/>
      <c r="P1004" s="24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3" x14ac:dyDescent="0.1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24"/>
      <c r="N1005" s="24"/>
      <c r="O1005" s="8"/>
      <c r="P1005" s="24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3" x14ac:dyDescent="0.1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24"/>
      <c r="N1006" s="24"/>
      <c r="O1006" s="8"/>
      <c r="P1006" s="24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</sheetData>
  <mergeCells count="6">
    <mergeCell ref="A41:A50"/>
    <mergeCell ref="B1:P1"/>
    <mergeCell ref="A3:A10"/>
    <mergeCell ref="A11:A20"/>
    <mergeCell ref="A21:A30"/>
    <mergeCell ref="A31:A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6"/>
  <sheetViews>
    <sheetView zoomScale="110" zoomScaleNormal="110" workbookViewId="0">
      <selection activeCell="J10" sqref="J10"/>
    </sheetView>
  </sheetViews>
  <sheetFormatPr baseColWidth="10" defaultColWidth="12.6640625" defaultRowHeight="15.75" customHeight="1" x14ac:dyDescent="0.15"/>
  <cols>
    <col min="1" max="1" width="9.1640625" customWidth="1"/>
    <col min="2" max="2" width="14.5" customWidth="1"/>
    <col min="3" max="3" width="11.5" customWidth="1"/>
    <col min="4" max="4" width="12.33203125" customWidth="1"/>
    <col min="5" max="5" width="9" customWidth="1"/>
    <col min="6" max="7" width="4.6640625" customWidth="1"/>
    <col min="8" max="8" width="6.83203125" customWidth="1"/>
    <col min="9" max="11" width="4.6640625" customWidth="1"/>
    <col min="12" max="12" width="9.5" customWidth="1"/>
    <col min="13" max="13" width="13.5" customWidth="1"/>
    <col min="14" max="14" width="14.1640625" customWidth="1"/>
    <col min="15" max="15" width="21.1640625" customWidth="1"/>
    <col min="16" max="16" width="10.1640625" customWidth="1"/>
  </cols>
  <sheetData>
    <row r="1" spans="1:27" ht="41" customHeight="1" thickBot="1" x14ac:dyDescent="0.3">
      <c r="A1" s="1"/>
      <c r="B1" s="85" t="s">
        <v>40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52" thickBot="1" x14ac:dyDescent="0.25">
      <c r="A2" s="78" t="s">
        <v>1</v>
      </c>
      <c r="B2" s="79" t="s">
        <v>13</v>
      </c>
      <c r="C2" s="80" t="s">
        <v>14</v>
      </c>
      <c r="D2" s="81" t="s">
        <v>15</v>
      </c>
      <c r="E2" s="26" t="s">
        <v>2</v>
      </c>
      <c r="F2" s="80" t="s">
        <v>16</v>
      </c>
      <c r="G2" s="80" t="s">
        <v>17</v>
      </c>
      <c r="H2" s="80" t="s">
        <v>18</v>
      </c>
      <c r="I2" s="80" t="s">
        <v>19</v>
      </c>
      <c r="J2" s="80" t="s">
        <v>20</v>
      </c>
      <c r="K2" s="80" t="s">
        <v>21</v>
      </c>
      <c r="L2" s="82" t="s">
        <v>22</v>
      </c>
      <c r="M2" s="81" t="s">
        <v>23</v>
      </c>
      <c r="N2" s="79" t="s">
        <v>24</v>
      </c>
      <c r="O2" s="83" t="s">
        <v>25</v>
      </c>
      <c r="P2" s="81" t="s">
        <v>26</v>
      </c>
      <c r="Q2" s="9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6" x14ac:dyDescent="0.2">
      <c r="A3" s="90" t="s">
        <v>42</v>
      </c>
      <c r="B3" s="35">
        <v>45932</v>
      </c>
      <c r="C3" s="10" t="s">
        <v>31</v>
      </c>
      <c r="D3" s="36" t="s">
        <v>29</v>
      </c>
      <c r="E3" s="45" t="s">
        <v>11</v>
      </c>
      <c r="F3" s="10">
        <v>1</v>
      </c>
      <c r="G3" s="10">
        <v>6</v>
      </c>
      <c r="H3" s="10"/>
      <c r="I3" s="10">
        <v>1</v>
      </c>
      <c r="J3" s="10"/>
      <c r="K3" s="10"/>
      <c r="L3" s="10"/>
      <c r="M3" s="27">
        <f t="shared" ref="M3:M22" si="0">SUM(F3:L3)</f>
        <v>8</v>
      </c>
      <c r="N3" s="50">
        <v>10</v>
      </c>
      <c r="O3" s="51">
        <v>5</v>
      </c>
      <c r="P3" s="27">
        <f t="shared" ref="P3:P28" si="1">M3+N3</f>
        <v>18</v>
      </c>
      <c r="Q3" s="9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7" thickBot="1" x14ac:dyDescent="0.25">
      <c r="A4" s="91"/>
      <c r="B4" s="37"/>
      <c r="C4" s="11"/>
      <c r="D4" s="38" t="s">
        <v>30</v>
      </c>
      <c r="E4" s="46" t="s">
        <v>11</v>
      </c>
      <c r="F4" s="11"/>
      <c r="G4" s="11">
        <v>4</v>
      </c>
      <c r="H4" s="11">
        <v>1</v>
      </c>
      <c r="I4" s="11"/>
      <c r="J4" s="11"/>
      <c r="K4" s="11"/>
      <c r="L4" s="11">
        <v>1</v>
      </c>
      <c r="M4" s="28">
        <f t="shared" si="0"/>
        <v>6</v>
      </c>
      <c r="N4" s="52">
        <v>11</v>
      </c>
      <c r="O4" s="53">
        <v>4</v>
      </c>
      <c r="P4" s="28">
        <f t="shared" si="1"/>
        <v>17</v>
      </c>
      <c r="Q4" s="9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6" x14ac:dyDescent="0.2">
      <c r="A5" s="91"/>
      <c r="B5" s="35">
        <v>45933</v>
      </c>
      <c r="C5" s="10" t="s">
        <v>32</v>
      </c>
      <c r="D5" s="36" t="s">
        <v>29</v>
      </c>
      <c r="E5" s="45" t="s">
        <v>11</v>
      </c>
      <c r="F5" s="10">
        <v>1</v>
      </c>
      <c r="G5" s="10">
        <v>2</v>
      </c>
      <c r="H5" s="10">
        <v>3</v>
      </c>
      <c r="I5" s="10"/>
      <c r="J5" s="10"/>
      <c r="K5" s="10"/>
      <c r="L5" s="10">
        <v>1</v>
      </c>
      <c r="M5" s="27">
        <f t="shared" si="0"/>
        <v>7</v>
      </c>
      <c r="N5" s="50">
        <v>16</v>
      </c>
      <c r="O5" s="51">
        <v>4</v>
      </c>
      <c r="P5" s="27">
        <f t="shared" si="1"/>
        <v>23</v>
      </c>
      <c r="Q5" s="9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7" thickBot="1" x14ac:dyDescent="0.25">
      <c r="A6" s="91"/>
      <c r="B6" s="37"/>
      <c r="C6" s="11"/>
      <c r="D6" s="38" t="s">
        <v>30</v>
      </c>
      <c r="E6" s="46" t="s">
        <v>11</v>
      </c>
      <c r="F6" s="11"/>
      <c r="G6" s="11">
        <v>2</v>
      </c>
      <c r="H6" s="11">
        <v>2</v>
      </c>
      <c r="I6" s="11"/>
      <c r="J6" s="11">
        <v>1</v>
      </c>
      <c r="K6" s="11"/>
      <c r="L6" s="11"/>
      <c r="M6" s="28">
        <f t="shared" si="0"/>
        <v>5</v>
      </c>
      <c r="N6" s="52">
        <v>13</v>
      </c>
      <c r="O6" s="53">
        <v>3</v>
      </c>
      <c r="P6" s="28">
        <f t="shared" si="1"/>
        <v>18</v>
      </c>
      <c r="Q6" s="9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" x14ac:dyDescent="0.2">
      <c r="A7" s="91"/>
      <c r="B7" s="64">
        <v>45934</v>
      </c>
      <c r="C7" s="65" t="s">
        <v>33</v>
      </c>
      <c r="D7" s="66" t="s">
        <v>29</v>
      </c>
      <c r="E7" s="67" t="s">
        <v>11</v>
      </c>
      <c r="F7" s="65"/>
      <c r="G7" s="65">
        <v>3</v>
      </c>
      <c r="H7" s="65">
        <v>2</v>
      </c>
      <c r="I7" s="65"/>
      <c r="J7" s="65"/>
      <c r="K7" s="65">
        <v>1</v>
      </c>
      <c r="L7" s="65"/>
      <c r="M7" s="68">
        <f t="shared" si="0"/>
        <v>6</v>
      </c>
      <c r="N7" s="69">
        <v>5</v>
      </c>
      <c r="O7" s="70"/>
      <c r="P7" s="68">
        <f t="shared" si="1"/>
        <v>11</v>
      </c>
      <c r="Q7" s="9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7" thickBot="1" x14ac:dyDescent="0.25">
      <c r="A8" s="91"/>
      <c r="B8" s="71"/>
      <c r="C8" s="72"/>
      <c r="D8" s="73" t="s">
        <v>30</v>
      </c>
      <c r="E8" s="74" t="s">
        <v>11</v>
      </c>
      <c r="F8" s="72">
        <v>1</v>
      </c>
      <c r="G8" s="72">
        <v>2</v>
      </c>
      <c r="H8" s="72"/>
      <c r="I8" s="72"/>
      <c r="J8" s="72"/>
      <c r="K8" s="72"/>
      <c r="L8" s="72"/>
      <c r="M8" s="75">
        <f t="shared" si="0"/>
        <v>3</v>
      </c>
      <c r="N8" s="76">
        <v>4</v>
      </c>
      <c r="O8" s="84">
        <v>1</v>
      </c>
      <c r="P8" s="75">
        <f t="shared" si="1"/>
        <v>7</v>
      </c>
      <c r="Q8" s="9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" x14ac:dyDescent="0.2">
      <c r="A9" s="91"/>
      <c r="B9" s="64">
        <v>45935</v>
      </c>
      <c r="C9" s="65" t="s">
        <v>34</v>
      </c>
      <c r="D9" s="66" t="s">
        <v>29</v>
      </c>
      <c r="E9" s="67" t="s">
        <v>11</v>
      </c>
      <c r="F9" s="65">
        <v>1</v>
      </c>
      <c r="G9" s="65">
        <v>2</v>
      </c>
      <c r="H9" s="65"/>
      <c r="I9" s="65"/>
      <c r="J9" s="65"/>
      <c r="K9" s="65"/>
      <c r="L9" s="65"/>
      <c r="M9" s="68">
        <f t="shared" si="0"/>
        <v>3</v>
      </c>
      <c r="N9" s="69">
        <v>4</v>
      </c>
      <c r="O9" s="70"/>
      <c r="P9" s="68">
        <f t="shared" si="1"/>
        <v>7</v>
      </c>
      <c r="Q9" s="9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7" thickBot="1" x14ac:dyDescent="0.25">
      <c r="A10" s="92"/>
      <c r="B10" s="71"/>
      <c r="C10" s="72"/>
      <c r="D10" s="73" t="s">
        <v>30</v>
      </c>
      <c r="E10" s="74" t="s">
        <v>11</v>
      </c>
      <c r="F10" s="72"/>
      <c r="G10" s="72">
        <v>2</v>
      </c>
      <c r="H10" s="72"/>
      <c r="I10" s="72"/>
      <c r="J10" s="72">
        <v>1</v>
      </c>
      <c r="K10" s="72"/>
      <c r="L10" s="72"/>
      <c r="M10" s="75">
        <f t="shared" si="0"/>
        <v>3</v>
      </c>
      <c r="N10" s="76">
        <v>4</v>
      </c>
      <c r="O10" s="77"/>
      <c r="P10" s="75">
        <f t="shared" si="1"/>
        <v>7</v>
      </c>
      <c r="Q10" s="9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" x14ac:dyDescent="0.2">
      <c r="A11" s="93" t="s">
        <v>27</v>
      </c>
      <c r="B11" s="39">
        <v>45936</v>
      </c>
      <c r="C11" s="12" t="s">
        <v>36</v>
      </c>
      <c r="D11" s="40" t="s">
        <v>29</v>
      </c>
      <c r="E11" s="47" t="s">
        <v>11</v>
      </c>
      <c r="F11" s="12">
        <v>1</v>
      </c>
      <c r="G11" s="12">
        <v>10</v>
      </c>
      <c r="H11" s="12">
        <v>2</v>
      </c>
      <c r="I11" s="12"/>
      <c r="J11" s="12">
        <v>1</v>
      </c>
      <c r="K11" s="12"/>
      <c r="L11" s="12"/>
      <c r="M11" s="29">
        <f t="shared" si="0"/>
        <v>14</v>
      </c>
      <c r="N11" s="54">
        <v>14</v>
      </c>
      <c r="O11" s="55">
        <v>13</v>
      </c>
      <c r="P11" s="29">
        <f t="shared" si="1"/>
        <v>28</v>
      </c>
      <c r="Q11" s="9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7" thickBot="1" x14ac:dyDescent="0.25">
      <c r="A12" s="88"/>
      <c r="B12" s="41"/>
      <c r="C12" s="13"/>
      <c r="D12" s="42" t="s">
        <v>30</v>
      </c>
      <c r="E12" s="48" t="s">
        <v>11</v>
      </c>
      <c r="F12" s="13">
        <v>2</v>
      </c>
      <c r="G12" s="13">
        <v>9</v>
      </c>
      <c r="H12" s="13"/>
      <c r="I12" s="13"/>
      <c r="J12" s="13">
        <v>1</v>
      </c>
      <c r="K12" s="13"/>
      <c r="L12" s="13">
        <v>1</v>
      </c>
      <c r="M12" s="30">
        <f t="shared" si="0"/>
        <v>13</v>
      </c>
      <c r="N12" s="56">
        <v>13</v>
      </c>
      <c r="O12" s="57">
        <v>13</v>
      </c>
      <c r="P12" s="30">
        <f t="shared" si="1"/>
        <v>26</v>
      </c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6" x14ac:dyDescent="0.2">
      <c r="A13" s="88"/>
      <c r="B13" s="39">
        <v>45937</v>
      </c>
      <c r="C13" s="12" t="s">
        <v>37</v>
      </c>
      <c r="D13" s="40" t="s">
        <v>29</v>
      </c>
      <c r="E13" s="47" t="s">
        <v>11</v>
      </c>
      <c r="F13" s="12">
        <v>1</v>
      </c>
      <c r="G13" s="12">
        <v>4</v>
      </c>
      <c r="H13" s="12">
        <v>2</v>
      </c>
      <c r="I13" s="12"/>
      <c r="J13" s="12"/>
      <c r="K13" s="12"/>
      <c r="L13" s="12">
        <v>1</v>
      </c>
      <c r="M13" s="29">
        <f t="shared" si="0"/>
        <v>8</v>
      </c>
      <c r="N13" s="54">
        <v>15</v>
      </c>
      <c r="O13" s="55">
        <v>15</v>
      </c>
      <c r="P13" s="29">
        <f t="shared" si="1"/>
        <v>23</v>
      </c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7" thickBot="1" x14ac:dyDescent="0.25">
      <c r="A14" s="88"/>
      <c r="B14" s="41"/>
      <c r="C14" s="13"/>
      <c r="D14" s="42" t="s">
        <v>30</v>
      </c>
      <c r="E14" s="48" t="s">
        <v>11</v>
      </c>
      <c r="F14" s="13">
        <v>1</v>
      </c>
      <c r="G14" s="13">
        <v>4</v>
      </c>
      <c r="H14" s="13">
        <v>1</v>
      </c>
      <c r="I14" s="13"/>
      <c r="J14" s="13"/>
      <c r="K14" s="13"/>
      <c r="L14" s="13">
        <v>1</v>
      </c>
      <c r="M14" s="30">
        <f t="shared" si="0"/>
        <v>7</v>
      </c>
      <c r="N14" s="56">
        <v>15</v>
      </c>
      <c r="O14" s="57">
        <v>15</v>
      </c>
      <c r="P14" s="30">
        <f t="shared" si="1"/>
        <v>22</v>
      </c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" x14ac:dyDescent="0.2">
      <c r="A15" s="88"/>
      <c r="B15" s="39">
        <v>45938</v>
      </c>
      <c r="C15" s="12" t="s">
        <v>28</v>
      </c>
      <c r="D15" s="40" t="s">
        <v>29</v>
      </c>
      <c r="E15" s="47" t="s">
        <v>11</v>
      </c>
      <c r="F15" s="12">
        <v>3</v>
      </c>
      <c r="G15" s="12">
        <v>4</v>
      </c>
      <c r="H15" s="12"/>
      <c r="I15" s="12"/>
      <c r="J15" s="12">
        <v>1</v>
      </c>
      <c r="K15" s="12"/>
      <c r="L15" s="12">
        <v>1</v>
      </c>
      <c r="M15" s="29">
        <f t="shared" si="0"/>
        <v>9</v>
      </c>
      <c r="N15" s="54">
        <v>17</v>
      </c>
      <c r="O15" s="55">
        <v>10</v>
      </c>
      <c r="P15" s="29">
        <f t="shared" si="1"/>
        <v>26</v>
      </c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7" thickBot="1" x14ac:dyDescent="0.25">
      <c r="A16" s="88"/>
      <c r="B16" s="41"/>
      <c r="C16" s="13"/>
      <c r="D16" s="42" t="s">
        <v>30</v>
      </c>
      <c r="E16" s="48" t="s">
        <v>11</v>
      </c>
      <c r="F16" s="13">
        <v>2</v>
      </c>
      <c r="G16" s="13">
        <v>4</v>
      </c>
      <c r="H16" s="13"/>
      <c r="I16" s="13"/>
      <c r="J16" s="13">
        <v>1</v>
      </c>
      <c r="K16" s="13"/>
      <c r="L16" s="13">
        <v>1</v>
      </c>
      <c r="M16" s="30">
        <f t="shared" si="0"/>
        <v>8</v>
      </c>
      <c r="N16" s="56">
        <v>18</v>
      </c>
      <c r="O16" s="57">
        <v>10</v>
      </c>
      <c r="P16" s="30">
        <f t="shared" si="1"/>
        <v>26</v>
      </c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6" x14ac:dyDescent="0.2">
      <c r="A17" s="88"/>
      <c r="B17" s="39">
        <v>45939</v>
      </c>
      <c r="C17" s="12" t="s">
        <v>31</v>
      </c>
      <c r="D17" s="40" t="s">
        <v>29</v>
      </c>
      <c r="E17" s="47" t="s">
        <v>11</v>
      </c>
      <c r="F17" s="12">
        <v>1</v>
      </c>
      <c r="G17" s="12">
        <v>5</v>
      </c>
      <c r="H17" s="12">
        <v>2</v>
      </c>
      <c r="I17" s="12">
        <v>1</v>
      </c>
      <c r="J17" s="12"/>
      <c r="K17" s="12"/>
      <c r="L17" s="12">
        <v>2</v>
      </c>
      <c r="M17" s="29">
        <f t="shared" si="0"/>
        <v>11</v>
      </c>
      <c r="N17" s="54">
        <v>17</v>
      </c>
      <c r="O17" s="55">
        <v>9</v>
      </c>
      <c r="P17" s="29">
        <f t="shared" si="1"/>
        <v>28</v>
      </c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7" thickBot="1" x14ac:dyDescent="0.25">
      <c r="A18" s="88"/>
      <c r="B18" s="41"/>
      <c r="C18" s="13"/>
      <c r="D18" s="42" t="s">
        <v>30</v>
      </c>
      <c r="E18" s="48" t="s">
        <v>11</v>
      </c>
      <c r="F18" s="13">
        <v>2</v>
      </c>
      <c r="G18" s="13">
        <v>3</v>
      </c>
      <c r="H18" s="13">
        <v>3</v>
      </c>
      <c r="I18" s="13"/>
      <c r="J18" s="13"/>
      <c r="K18" s="13"/>
      <c r="L18" s="13">
        <v>1</v>
      </c>
      <c r="M18" s="30">
        <f t="shared" si="0"/>
        <v>9</v>
      </c>
      <c r="N18" s="56">
        <v>16</v>
      </c>
      <c r="O18" s="57">
        <v>8</v>
      </c>
      <c r="P18" s="30">
        <f t="shared" si="1"/>
        <v>25</v>
      </c>
      <c r="Q18" s="9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6" x14ac:dyDescent="0.2">
      <c r="A19" s="88"/>
      <c r="B19" s="39">
        <v>45940</v>
      </c>
      <c r="C19" s="12" t="s">
        <v>32</v>
      </c>
      <c r="D19" s="40" t="s">
        <v>29</v>
      </c>
      <c r="E19" s="47" t="s">
        <v>11</v>
      </c>
      <c r="F19" s="12">
        <v>3</v>
      </c>
      <c r="G19" s="12">
        <v>7</v>
      </c>
      <c r="H19" s="12">
        <v>4</v>
      </c>
      <c r="I19" s="12"/>
      <c r="J19" s="12">
        <v>1</v>
      </c>
      <c r="K19" s="12">
        <v>2</v>
      </c>
      <c r="L19" s="12"/>
      <c r="M19" s="29">
        <f t="shared" si="0"/>
        <v>17</v>
      </c>
      <c r="N19" s="54">
        <v>7</v>
      </c>
      <c r="O19" s="55">
        <v>4</v>
      </c>
      <c r="P19" s="29">
        <f t="shared" si="1"/>
        <v>24</v>
      </c>
      <c r="Q19" s="9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7" thickBot="1" x14ac:dyDescent="0.25">
      <c r="A20" s="88"/>
      <c r="B20" s="41"/>
      <c r="C20" s="13"/>
      <c r="D20" s="42" t="s">
        <v>30</v>
      </c>
      <c r="E20" s="48" t="s">
        <v>11</v>
      </c>
      <c r="F20" s="13">
        <v>4</v>
      </c>
      <c r="G20" s="13">
        <v>9</v>
      </c>
      <c r="H20" s="13">
        <v>5</v>
      </c>
      <c r="I20" s="13"/>
      <c r="J20" s="13"/>
      <c r="K20" s="13">
        <v>1</v>
      </c>
      <c r="L20" s="13"/>
      <c r="M20" s="30">
        <f t="shared" si="0"/>
        <v>19</v>
      </c>
      <c r="N20" s="56">
        <v>6</v>
      </c>
      <c r="O20" s="57">
        <v>3</v>
      </c>
      <c r="P20" s="30">
        <f t="shared" si="1"/>
        <v>25</v>
      </c>
      <c r="Q20" s="9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6" x14ac:dyDescent="0.2">
      <c r="A21" s="94" t="s">
        <v>35</v>
      </c>
      <c r="B21" s="35">
        <v>45943</v>
      </c>
      <c r="C21" s="10" t="s">
        <v>36</v>
      </c>
      <c r="D21" s="36" t="s">
        <v>29</v>
      </c>
      <c r="E21" s="45" t="s">
        <v>11</v>
      </c>
      <c r="F21" s="10">
        <v>1</v>
      </c>
      <c r="G21" s="10">
        <v>4</v>
      </c>
      <c r="H21" s="10"/>
      <c r="I21" s="10">
        <v>2</v>
      </c>
      <c r="J21" s="10"/>
      <c r="K21" s="10">
        <v>1</v>
      </c>
      <c r="L21" s="10">
        <v>1</v>
      </c>
      <c r="M21" s="27">
        <f t="shared" si="0"/>
        <v>9</v>
      </c>
      <c r="N21" s="50">
        <v>11</v>
      </c>
      <c r="O21" s="51">
        <v>11</v>
      </c>
      <c r="P21" s="27">
        <f t="shared" si="1"/>
        <v>20</v>
      </c>
      <c r="Q21" s="9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7" thickBot="1" x14ac:dyDescent="0.25">
      <c r="A22" s="88"/>
      <c r="B22" s="37"/>
      <c r="C22" s="11"/>
      <c r="D22" s="38" t="s">
        <v>30</v>
      </c>
      <c r="E22" s="46" t="s">
        <v>11</v>
      </c>
      <c r="F22" s="11">
        <v>1</v>
      </c>
      <c r="G22" s="11">
        <v>3</v>
      </c>
      <c r="H22" s="11"/>
      <c r="I22" s="11">
        <v>2</v>
      </c>
      <c r="J22" s="11"/>
      <c r="K22" s="11">
        <v>1</v>
      </c>
      <c r="L22" s="11">
        <v>1</v>
      </c>
      <c r="M22" s="28">
        <f t="shared" si="0"/>
        <v>8</v>
      </c>
      <c r="N22" s="52">
        <v>9</v>
      </c>
      <c r="O22" s="53">
        <v>7</v>
      </c>
      <c r="P22" s="28">
        <f t="shared" si="1"/>
        <v>17</v>
      </c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" x14ac:dyDescent="0.2">
      <c r="A23" s="88"/>
      <c r="B23" s="35">
        <v>45944</v>
      </c>
      <c r="C23" s="10" t="s">
        <v>37</v>
      </c>
      <c r="D23" s="36" t="s">
        <v>29</v>
      </c>
      <c r="E23" s="45" t="s">
        <v>11</v>
      </c>
      <c r="F23" s="10">
        <v>1</v>
      </c>
      <c r="G23" s="10">
        <v>4</v>
      </c>
      <c r="H23" s="10">
        <v>2</v>
      </c>
      <c r="I23" s="10"/>
      <c r="J23" s="10">
        <v>1</v>
      </c>
      <c r="K23" s="10">
        <v>2</v>
      </c>
      <c r="L23" s="10">
        <v>1</v>
      </c>
      <c r="M23" s="27">
        <f t="shared" ref="M23:M30" si="2">SUM(F23:L23)</f>
        <v>11</v>
      </c>
      <c r="N23" s="50">
        <v>12</v>
      </c>
      <c r="O23" s="51">
        <v>9</v>
      </c>
      <c r="P23" s="27">
        <f t="shared" si="1"/>
        <v>23</v>
      </c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7" thickBot="1" x14ac:dyDescent="0.25">
      <c r="A24" s="88"/>
      <c r="B24" s="37"/>
      <c r="C24" s="11"/>
      <c r="D24" s="38" t="s">
        <v>30</v>
      </c>
      <c r="E24" s="46" t="s">
        <v>11</v>
      </c>
      <c r="F24" s="11">
        <v>2</v>
      </c>
      <c r="G24" s="11">
        <v>6</v>
      </c>
      <c r="H24" s="11">
        <v>1</v>
      </c>
      <c r="I24" s="11"/>
      <c r="J24" s="11">
        <v>1</v>
      </c>
      <c r="K24" s="11">
        <v>2</v>
      </c>
      <c r="L24" s="11">
        <v>2</v>
      </c>
      <c r="M24" s="28">
        <f t="shared" si="2"/>
        <v>14</v>
      </c>
      <c r="N24" s="52">
        <v>9</v>
      </c>
      <c r="O24" s="53">
        <v>9</v>
      </c>
      <c r="P24" s="28">
        <f t="shared" si="1"/>
        <v>23</v>
      </c>
      <c r="Q24" s="9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6" x14ac:dyDescent="0.2">
      <c r="A25" s="88"/>
      <c r="B25" s="35">
        <v>45945</v>
      </c>
      <c r="C25" s="10" t="s">
        <v>28</v>
      </c>
      <c r="D25" s="36" t="s">
        <v>29</v>
      </c>
      <c r="E25" s="45" t="s">
        <v>11</v>
      </c>
      <c r="F25" s="10">
        <v>1</v>
      </c>
      <c r="G25" s="10">
        <v>5</v>
      </c>
      <c r="H25" s="10">
        <v>1</v>
      </c>
      <c r="I25" s="10">
        <v>1</v>
      </c>
      <c r="J25" s="10"/>
      <c r="K25" s="10">
        <v>2</v>
      </c>
      <c r="L25" s="10">
        <v>2</v>
      </c>
      <c r="M25" s="27">
        <f t="shared" si="2"/>
        <v>12</v>
      </c>
      <c r="N25" s="50">
        <v>14</v>
      </c>
      <c r="O25" s="51">
        <v>14</v>
      </c>
      <c r="P25" s="27">
        <f t="shared" si="1"/>
        <v>26</v>
      </c>
      <c r="Q25" s="9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7" thickBot="1" x14ac:dyDescent="0.25">
      <c r="A26" s="88"/>
      <c r="B26" s="37"/>
      <c r="C26" s="11"/>
      <c r="D26" s="38" t="s">
        <v>30</v>
      </c>
      <c r="E26" s="46" t="s">
        <v>11</v>
      </c>
      <c r="F26" s="11">
        <v>1</v>
      </c>
      <c r="G26" s="11">
        <v>4</v>
      </c>
      <c r="H26" s="11"/>
      <c r="I26" s="11"/>
      <c r="J26" s="11"/>
      <c r="K26" s="11"/>
      <c r="L26" s="11"/>
      <c r="M26" s="28">
        <f t="shared" si="2"/>
        <v>5</v>
      </c>
      <c r="N26" s="52">
        <v>14</v>
      </c>
      <c r="O26" s="53">
        <v>12</v>
      </c>
      <c r="P26" s="28">
        <f t="shared" si="1"/>
        <v>19</v>
      </c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6" x14ac:dyDescent="0.2">
      <c r="A27" s="88"/>
      <c r="B27" s="35">
        <v>45946</v>
      </c>
      <c r="C27" s="10" t="s">
        <v>31</v>
      </c>
      <c r="D27" s="36" t="s">
        <v>29</v>
      </c>
      <c r="E27" s="45" t="s">
        <v>11</v>
      </c>
      <c r="F27" s="10">
        <v>2</v>
      </c>
      <c r="G27" s="10">
        <v>4</v>
      </c>
      <c r="H27" s="10">
        <v>2</v>
      </c>
      <c r="I27" s="10"/>
      <c r="J27" s="10"/>
      <c r="K27" s="10">
        <v>1</v>
      </c>
      <c r="L27" s="10"/>
      <c r="M27" s="27">
        <f t="shared" si="2"/>
        <v>9</v>
      </c>
      <c r="N27" s="50">
        <v>16</v>
      </c>
      <c r="O27" s="51">
        <v>16</v>
      </c>
      <c r="P27" s="27">
        <f t="shared" si="1"/>
        <v>25</v>
      </c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7" thickBot="1" x14ac:dyDescent="0.25">
      <c r="A28" s="88"/>
      <c r="B28" s="37"/>
      <c r="C28" s="11"/>
      <c r="D28" s="38" t="s">
        <v>30</v>
      </c>
      <c r="E28" s="46" t="s">
        <v>11</v>
      </c>
      <c r="F28" s="11">
        <v>1</v>
      </c>
      <c r="G28" s="11">
        <v>3</v>
      </c>
      <c r="H28" s="11">
        <v>2</v>
      </c>
      <c r="I28" s="11"/>
      <c r="J28" s="11">
        <v>1</v>
      </c>
      <c r="K28" s="11"/>
      <c r="L28" s="11"/>
      <c r="M28" s="28">
        <f t="shared" si="2"/>
        <v>7</v>
      </c>
      <c r="N28" s="52">
        <v>15</v>
      </c>
      <c r="O28" s="53">
        <v>15</v>
      </c>
      <c r="P28" s="28">
        <f t="shared" si="1"/>
        <v>22</v>
      </c>
      <c r="Q28" s="9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6" x14ac:dyDescent="0.2">
      <c r="A29" s="88"/>
      <c r="B29" s="35">
        <v>45947</v>
      </c>
      <c r="C29" s="10" t="s">
        <v>32</v>
      </c>
      <c r="D29" s="36" t="s">
        <v>29</v>
      </c>
      <c r="E29" s="45" t="s">
        <v>11</v>
      </c>
      <c r="F29" s="10">
        <v>2</v>
      </c>
      <c r="G29" s="10">
        <v>3</v>
      </c>
      <c r="H29" s="10">
        <v>2</v>
      </c>
      <c r="I29" s="10"/>
      <c r="J29" s="10">
        <v>1</v>
      </c>
      <c r="K29" s="10">
        <v>1</v>
      </c>
      <c r="L29" s="10"/>
      <c r="M29" s="27">
        <f t="shared" si="2"/>
        <v>9</v>
      </c>
      <c r="N29" s="50">
        <v>16</v>
      </c>
      <c r="O29" s="51">
        <v>16</v>
      </c>
      <c r="P29" s="27">
        <f t="shared" ref="P29:P38" si="3">M29+N29</f>
        <v>25</v>
      </c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7" thickBot="1" x14ac:dyDescent="0.25">
      <c r="A30" s="88"/>
      <c r="B30" s="37"/>
      <c r="C30" s="11"/>
      <c r="D30" s="38" t="s">
        <v>30</v>
      </c>
      <c r="E30" s="46" t="s">
        <v>11</v>
      </c>
      <c r="F30" s="11">
        <v>1</v>
      </c>
      <c r="G30" s="11">
        <v>2</v>
      </c>
      <c r="H30" s="11">
        <v>2</v>
      </c>
      <c r="I30" s="11"/>
      <c r="J30" s="11">
        <v>1</v>
      </c>
      <c r="K30" s="11">
        <v>1</v>
      </c>
      <c r="L30" s="11">
        <v>1</v>
      </c>
      <c r="M30" s="28">
        <f t="shared" si="2"/>
        <v>8</v>
      </c>
      <c r="N30" s="52">
        <v>13</v>
      </c>
      <c r="O30" s="53">
        <v>13</v>
      </c>
      <c r="P30" s="28">
        <f t="shared" si="3"/>
        <v>21</v>
      </c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6" x14ac:dyDescent="0.2">
      <c r="A31" s="93" t="s">
        <v>38</v>
      </c>
      <c r="B31" s="39">
        <v>45950</v>
      </c>
      <c r="C31" s="12" t="s">
        <v>36</v>
      </c>
      <c r="D31" s="40" t="s">
        <v>29</v>
      </c>
      <c r="E31" s="47" t="s">
        <v>11</v>
      </c>
      <c r="F31" s="22">
        <v>4</v>
      </c>
      <c r="G31" s="22">
        <v>5</v>
      </c>
      <c r="H31" s="22">
        <v>1</v>
      </c>
      <c r="I31" s="22">
        <v>1</v>
      </c>
      <c r="J31" s="22"/>
      <c r="K31" s="22"/>
      <c r="L31" s="22">
        <v>1</v>
      </c>
      <c r="M31" s="31">
        <f t="shared" ref="M31:M42" si="4">SUM(F31:L31)</f>
        <v>12</v>
      </c>
      <c r="N31" s="58">
        <v>12</v>
      </c>
      <c r="O31" s="59">
        <v>12</v>
      </c>
      <c r="P31" s="31">
        <f t="shared" si="3"/>
        <v>24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7" thickBot="1" x14ac:dyDescent="0.25">
      <c r="A32" s="88"/>
      <c r="B32" s="41"/>
      <c r="C32" s="13"/>
      <c r="D32" s="42" t="s">
        <v>30</v>
      </c>
      <c r="E32" s="48" t="s">
        <v>11</v>
      </c>
      <c r="F32" s="23">
        <v>3</v>
      </c>
      <c r="G32" s="23">
        <v>4</v>
      </c>
      <c r="H32" s="23">
        <v>1</v>
      </c>
      <c r="I32" s="23">
        <v>1</v>
      </c>
      <c r="J32" s="23"/>
      <c r="K32" s="23"/>
      <c r="L32" s="23"/>
      <c r="M32" s="32">
        <f t="shared" si="4"/>
        <v>9</v>
      </c>
      <c r="N32" s="60">
        <v>12</v>
      </c>
      <c r="O32" s="61">
        <v>12</v>
      </c>
      <c r="P32" s="32">
        <f t="shared" si="3"/>
        <v>21</v>
      </c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6" x14ac:dyDescent="0.2">
      <c r="A33" s="88"/>
      <c r="B33" s="39">
        <v>45951</v>
      </c>
      <c r="C33" s="12" t="s">
        <v>37</v>
      </c>
      <c r="D33" s="40" t="s">
        <v>29</v>
      </c>
      <c r="E33" s="47" t="s">
        <v>11</v>
      </c>
      <c r="F33" s="22">
        <v>1</v>
      </c>
      <c r="G33" s="22">
        <v>5</v>
      </c>
      <c r="H33" s="22">
        <v>1</v>
      </c>
      <c r="I33" s="22">
        <v>1</v>
      </c>
      <c r="J33" s="22">
        <v>1</v>
      </c>
      <c r="K33" s="22"/>
      <c r="L33" s="22"/>
      <c r="M33" s="31">
        <f t="shared" si="4"/>
        <v>9</v>
      </c>
      <c r="N33" s="58">
        <v>12</v>
      </c>
      <c r="O33" s="59">
        <v>12</v>
      </c>
      <c r="P33" s="31">
        <f t="shared" si="3"/>
        <v>21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7" thickBot="1" x14ac:dyDescent="0.25">
      <c r="A34" s="88"/>
      <c r="B34" s="41"/>
      <c r="C34" s="13"/>
      <c r="D34" s="42" t="s">
        <v>30</v>
      </c>
      <c r="E34" s="48" t="s">
        <v>11</v>
      </c>
      <c r="F34" s="23">
        <v>1</v>
      </c>
      <c r="G34" s="23">
        <v>4</v>
      </c>
      <c r="H34" s="23"/>
      <c r="I34" s="23"/>
      <c r="J34" s="23">
        <v>1</v>
      </c>
      <c r="K34" s="23"/>
      <c r="L34" s="23">
        <v>1</v>
      </c>
      <c r="M34" s="32">
        <f t="shared" si="4"/>
        <v>7</v>
      </c>
      <c r="N34" s="60">
        <v>12</v>
      </c>
      <c r="O34" s="61">
        <v>12</v>
      </c>
      <c r="P34" s="32">
        <f t="shared" si="3"/>
        <v>19</v>
      </c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6" x14ac:dyDescent="0.2">
      <c r="A35" s="88"/>
      <c r="B35" s="39">
        <v>45952</v>
      </c>
      <c r="C35" s="12" t="s">
        <v>28</v>
      </c>
      <c r="D35" s="40" t="s">
        <v>29</v>
      </c>
      <c r="E35" s="47" t="s">
        <v>11</v>
      </c>
      <c r="F35" s="22">
        <v>2</v>
      </c>
      <c r="G35" s="22">
        <v>3</v>
      </c>
      <c r="H35" s="22"/>
      <c r="I35" s="22"/>
      <c r="J35" s="22">
        <v>1</v>
      </c>
      <c r="K35" s="22">
        <v>1</v>
      </c>
      <c r="L35" s="22"/>
      <c r="M35" s="31">
        <f t="shared" si="4"/>
        <v>7</v>
      </c>
      <c r="N35" s="58">
        <v>15</v>
      </c>
      <c r="O35" s="59">
        <v>15</v>
      </c>
      <c r="P35" s="31">
        <f t="shared" si="3"/>
        <v>22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7" thickBot="1" x14ac:dyDescent="0.25">
      <c r="A36" s="88"/>
      <c r="B36" s="41"/>
      <c r="C36" s="13"/>
      <c r="D36" s="42" t="s">
        <v>30</v>
      </c>
      <c r="E36" s="48" t="s">
        <v>11</v>
      </c>
      <c r="F36" s="23">
        <v>2</v>
      </c>
      <c r="G36" s="23">
        <v>4</v>
      </c>
      <c r="H36" s="23">
        <v>1</v>
      </c>
      <c r="I36" s="23"/>
      <c r="J36" s="23"/>
      <c r="K36" s="23">
        <v>1</v>
      </c>
      <c r="L36" s="23"/>
      <c r="M36" s="32">
        <f t="shared" si="4"/>
        <v>8</v>
      </c>
      <c r="N36" s="60">
        <v>10</v>
      </c>
      <c r="O36" s="61">
        <v>9</v>
      </c>
      <c r="P36" s="32">
        <f t="shared" si="3"/>
        <v>18</v>
      </c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6" x14ac:dyDescent="0.2">
      <c r="A37" s="88"/>
      <c r="B37" s="39">
        <v>45953</v>
      </c>
      <c r="C37" s="12" t="s">
        <v>31</v>
      </c>
      <c r="D37" s="40" t="s">
        <v>29</v>
      </c>
      <c r="E37" s="47" t="s">
        <v>11</v>
      </c>
      <c r="F37" s="22">
        <v>1</v>
      </c>
      <c r="G37" s="22">
        <v>5</v>
      </c>
      <c r="H37" s="22">
        <v>1</v>
      </c>
      <c r="I37" s="22"/>
      <c r="J37" s="22">
        <v>1</v>
      </c>
      <c r="K37" s="22"/>
      <c r="L37" s="22">
        <v>2</v>
      </c>
      <c r="M37" s="31">
        <f t="shared" si="4"/>
        <v>10</v>
      </c>
      <c r="N37" s="58">
        <v>14</v>
      </c>
      <c r="O37" s="59">
        <v>14</v>
      </c>
      <c r="P37" s="31">
        <f t="shared" si="3"/>
        <v>24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7" thickBot="1" x14ac:dyDescent="0.25">
      <c r="A38" s="88"/>
      <c r="B38" s="41"/>
      <c r="C38" s="13"/>
      <c r="D38" s="42" t="s">
        <v>30</v>
      </c>
      <c r="E38" s="48" t="s">
        <v>11</v>
      </c>
      <c r="F38" s="23"/>
      <c r="G38" s="23">
        <v>4</v>
      </c>
      <c r="H38" s="23">
        <v>1</v>
      </c>
      <c r="I38" s="23"/>
      <c r="J38" s="23">
        <v>1</v>
      </c>
      <c r="K38" s="23"/>
      <c r="L38" s="23">
        <v>2</v>
      </c>
      <c r="M38" s="32">
        <f t="shared" si="4"/>
        <v>8</v>
      </c>
      <c r="N38" s="60">
        <v>15</v>
      </c>
      <c r="O38" s="61">
        <v>15</v>
      </c>
      <c r="P38" s="32">
        <f t="shared" si="3"/>
        <v>23</v>
      </c>
      <c r="Q38" s="9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6" x14ac:dyDescent="0.2">
      <c r="A39" s="88"/>
      <c r="B39" s="39">
        <v>45954</v>
      </c>
      <c r="C39" s="12" t="s">
        <v>32</v>
      </c>
      <c r="D39" s="40" t="s">
        <v>29</v>
      </c>
      <c r="E39" s="47" t="s">
        <v>11</v>
      </c>
      <c r="F39" s="22">
        <v>4</v>
      </c>
      <c r="G39" s="22">
        <v>4</v>
      </c>
      <c r="H39" s="22">
        <v>2</v>
      </c>
      <c r="I39" s="22">
        <v>1</v>
      </c>
      <c r="J39" s="22"/>
      <c r="K39" s="22">
        <v>2</v>
      </c>
      <c r="L39" s="22"/>
      <c r="M39" s="31">
        <f t="shared" si="4"/>
        <v>13</v>
      </c>
      <c r="N39" s="58">
        <v>5</v>
      </c>
      <c r="O39" s="59">
        <v>2</v>
      </c>
      <c r="P39" s="31">
        <f t="shared" ref="P39:P50" si="5">M39+N39</f>
        <v>18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7" thickBot="1" x14ac:dyDescent="0.25">
      <c r="A40" s="88"/>
      <c r="B40" s="41"/>
      <c r="C40" s="13"/>
      <c r="D40" s="42" t="s">
        <v>30</v>
      </c>
      <c r="E40" s="48" t="s">
        <v>11</v>
      </c>
      <c r="F40" s="23">
        <v>4</v>
      </c>
      <c r="G40" s="23">
        <v>5</v>
      </c>
      <c r="H40" s="23">
        <v>2</v>
      </c>
      <c r="I40" s="23">
        <v>1</v>
      </c>
      <c r="J40" s="23">
        <v>1</v>
      </c>
      <c r="K40" s="23">
        <v>2</v>
      </c>
      <c r="L40" s="23"/>
      <c r="M40" s="32">
        <f t="shared" si="4"/>
        <v>15</v>
      </c>
      <c r="N40" s="60">
        <v>8</v>
      </c>
      <c r="O40" s="61">
        <v>2</v>
      </c>
      <c r="P40" s="32">
        <f t="shared" si="5"/>
        <v>23</v>
      </c>
      <c r="Q40" s="9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6" x14ac:dyDescent="0.2">
      <c r="A41" s="87" t="s">
        <v>39</v>
      </c>
      <c r="B41" s="35">
        <v>45957</v>
      </c>
      <c r="C41" s="10" t="s">
        <v>36</v>
      </c>
      <c r="D41" s="36" t="s">
        <v>29</v>
      </c>
      <c r="E41" s="45" t="s">
        <v>11</v>
      </c>
      <c r="F41" s="10">
        <v>2</v>
      </c>
      <c r="G41" s="10">
        <v>6</v>
      </c>
      <c r="H41" s="10">
        <v>3</v>
      </c>
      <c r="I41" s="10">
        <v>1</v>
      </c>
      <c r="J41" s="10"/>
      <c r="K41" s="10">
        <v>1</v>
      </c>
      <c r="L41" s="10">
        <v>1</v>
      </c>
      <c r="M41" s="27">
        <f t="shared" si="4"/>
        <v>14</v>
      </c>
      <c r="N41" s="50">
        <v>13</v>
      </c>
      <c r="O41" s="51">
        <v>11</v>
      </c>
      <c r="P41" s="27">
        <f t="shared" si="5"/>
        <v>27</v>
      </c>
      <c r="Q41" s="9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7" thickBot="1" x14ac:dyDescent="0.25">
      <c r="A42" s="88"/>
      <c r="B42" s="37"/>
      <c r="C42" s="11"/>
      <c r="D42" s="38" t="s">
        <v>30</v>
      </c>
      <c r="E42" s="46" t="s">
        <v>11</v>
      </c>
      <c r="F42" s="11">
        <v>3</v>
      </c>
      <c r="G42" s="11">
        <v>6</v>
      </c>
      <c r="H42" s="11">
        <v>3</v>
      </c>
      <c r="I42" s="11">
        <v>2</v>
      </c>
      <c r="J42" s="11"/>
      <c r="K42" s="11">
        <v>1</v>
      </c>
      <c r="L42" s="11">
        <v>1</v>
      </c>
      <c r="M42" s="28">
        <f t="shared" si="4"/>
        <v>16</v>
      </c>
      <c r="N42" s="52">
        <v>10</v>
      </c>
      <c r="O42" s="53">
        <v>7</v>
      </c>
      <c r="P42" s="28">
        <f t="shared" si="5"/>
        <v>26</v>
      </c>
      <c r="Q42" s="9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6" x14ac:dyDescent="0.2">
      <c r="A43" s="88"/>
      <c r="B43" s="35">
        <v>45958</v>
      </c>
      <c r="C43" s="10" t="s">
        <v>37</v>
      </c>
      <c r="D43" s="36" t="s">
        <v>29</v>
      </c>
      <c r="E43" s="45" t="s">
        <v>11</v>
      </c>
      <c r="F43" s="10">
        <v>1</v>
      </c>
      <c r="G43" s="10">
        <v>4</v>
      </c>
      <c r="H43" s="10">
        <v>2</v>
      </c>
      <c r="I43" s="10">
        <v>1</v>
      </c>
      <c r="J43" s="10">
        <v>1</v>
      </c>
      <c r="K43" s="10"/>
      <c r="L43" s="10">
        <v>1</v>
      </c>
      <c r="M43" s="27">
        <f t="shared" ref="M43:M50" si="6">SUM(F43:L43)</f>
        <v>10</v>
      </c>
      <c r="N43" s="50">
        <v>18</v>
      </c>
      <c r="O43" s="51">
        <v>18</v>
      </c>
      <c r="P43" s="27">
        <f t="shared" si="5"/>
        <v>28</v>
      </c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7" thickBot="1" x14ac:dyDescent="0.25">
      <c r="A44" s="88"/>
      <c r="B44" s="37"/>
      <c r="C44" s="11"/>
      <c r="D44" s="38" t="s">
        <v>30</v>
      </c>
      <c r="E44" s="46" t="s">
        <v>11</v>
      </c>
      <c r="F44" s="11">
        <v>1</v>
      </c>
      <c r="G44" s="11">
        <v>4</v>
      </c>
      <c r="H44" s="11">
        <v>2</v>
      </c>
      <c r="I44" s="11"/>
      <c r="J44" s="11">
        <v>1</v>
      </c>
      <c r="K44" s="11"/>
      <c r="L44" s="11">
        <v>1</v>
      </c>
      <c r="M44" s="28">
        <f t="shared" si="6"/>
        <v>9</v>
      </c>
      <c r="N44" s="52">
        <v>18</v>
      </c>
      <c r="O44" s="53">
        <v>18</v>
      </c>
      <c r="P44" s="28">
        <f t="shared" si="5"/>
        <v>27</v>
      </c>
      <c r="Q44" s="9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6" x14ac:dyDescent="0.2">
      <c r="A45" s="88"/>
      <c r="B45" s="35">
        <v>45959</v>
      </c>
      <c r="C45" s="10" t="s">
        <v>28</v>
      </c>
      <c r="D45" s="36" t="s">
        <v>29</v>
      </c>
      <c r="E45" s="45" t="s">
        <v>11</v>
      </c>
      <c r="F45" s="10">
        <v>1</v>
      </c>
      <c r="G45" s="10">
        <v>3</v>
      </c>
      <c r="H45" s="10">
        <v>2</v>
      </c>
      <c r="I45" s="10"/>
      <c r="J45" s="10">
        <v>1</v>
      </c>
      <c r="K45" s="10">
        <v>1</v>
      </c>
      <c r="L45" s="10"/>
      <c r="M45" s="27">
        <f t="shared" si="6"/>
        <v>8</v>
      </c>
      <c r="N45" s="50">
        <v>20</v>
      </c>
      <c r="O45" s="51">
        <v>20</v>
      </c>
      <c r="P45" s="27">
        <f t="shared" si="5"/>
        <v>28</v>
      </c>
      <c r="Q45" s="9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7" thickBot="1" x14ac:dyDescent="0.25">
      <c r="A46" s="88"/>
      <c r="B46" s="37"/>
      <c r="C46" s="11"/>
      <c r="D46" s="38" t="s">
        <v>30</v>
      </c>
      <c r="E46" s="46" t="s">
        <v>11</v>
      </c>
      <c r="F46" s="11">
        <v>1</v>
      </c>
      <c r="G46" s="11">
        <v>2</v>
      </c>
      <c r="H46" s="11">
        <v>1</v>
      </c>
      <c r="I46" s="11">
        <v>1</v>
      </c>
      <c r="J46" s="11">
        <v>1</v>
      </c>
      <c r="K46" s="11"/>
      <c r="L46" s="11">
        <v>1</v>
      </c>
      <c r="M46" s="28">
        <f t="shared" si="6"/>
        <v>7</v>
      </c>
      <c r="N46" s="52">
        <v>18</v>
      </c>
      <c r="O46" s="53">
        <v>18</v>
      </c>
      <c r="P46" s="28">
        <f t="shared" si="5"/>
        <v>25</v>
      </c>
      <c r="Q46" s="9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6" x14ac:dyDescent="0.2">
      <c r="A47" s="88"/>
      <c r="B47" s="35">
        <v>45960</v>
      </c>
      <c r="C47" s="10" t="s">
        <v>31</v>
      </c>
      <c r="D47" s="36" t="s">
        <v>29</v>
      </c>
      <c r="E47" s="45" t="s">
        <v>11</v>
      </c>
      <c r="F47" s="10">
        <v>1</v>
      </c>
      <c r="G47" s="10">
        <v>5</v>
      </c>
      <c r="H47" s="10">
        <v>1</v>
      </c>
      <c r="I47" s="10"/>
      <c r="J47" s="10"/>
      <c r="K47" s="10">
        <v>1</v>
      </c>
      <c r="L47" s="10">
        <v>1</v>
      </c>
      <c r="M47" s="27">
        <f t="shared" si="6"/>
        <v>9</v>
      </c>
      <c r="N47" s="50">
        <v>15</v>
      </c>
      <c r="O47" s="51">
        <v>15</v>
      </c>
      <c r="P47" s="27">
        <f t="shared" si="5"/>
        <v>24</v>
      </c>
      <c r="Q47" s="9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7" thickBot="1" x14ac:dyDescent="0.25">
      <c r="A48" s="88"/>
      <c r="B48" s="37"/>
      <c r="C48" s="11"/>
      <c r="D48" s="38" t="s">
        <v>30</v>
      </c>
      <c r="E48" s="46" t="s">
        <v>11</v>
      </c>
      <c r="F48" s="11"/>
      <c r="G48" s="11">
        <v>5</v>
      </c>
      <c r="H48" s="11">
        <v>2</v>
      </c>
      <c r="I48" s="11"/>
      <c r="J48" s="11">
        <v>1</v>
      </c>
      <c r="K48" s="11"/>
      <c r="L48" s="11">
        <v>1</v>
      </c>
      <c r="M48" s="28">
        <f t="shared" si="6"/>
        <v>9</v>
      </c>
      <c r="N48" s="52">
        <v>15</v>
      </c>
      <c r="O48" s="53">
        <v>15</v>
      </c>
      <c r="P48" s="28">
        <f t="shared" si="5"/>
        <v>24</v>
      </c>
      <c r="Q48" s="9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6" x14ac:dyDescent="0.2">
      <c r="A49" s="88"/>
      <c r="B49" s="35">
        <v>45961</v>
      </c>
      <c r="C49" s="10" t="s">
        <v>32</v>
      </c>
      <c r="D49" s="36" t="s">
        <v>29</v>
      </c>
      <c r="E49" s="45" t="s">
        <v>11</v>
      </c>
      <c r="F49" s="10">
        <v>2</v>
      </c>
      <c r="G49" s="10">
        <v>7</v>
      </c>
      <c r="H49" s="10">
        <v>4</v>
      </c>
      <c r="I49" s="10"/>
      <c r="J49" s="10">
        <v>1</v>
      </c>
      <c r="K49" s="10">
        <v>2</v>
      </c>
      <c r="L49" s="10"/>
      <c r="M49" s="27">
        <f t="shared" si="6"/>
        <v>16</v>
      </c>
      <c r="N49" s="50">
        <v>16</v>
      </c>
      <c r="O49" s="51">
        <v>14</v>
      </c>
      <c r="P49" s="27">
        <f t="shared" si="5"/>
        <v>32</v>
      </c>
      <c r="Q49" s="9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7" thickBot="1" x14ac:dyDescent="0.25">
      <c r="A50" s="89"/>
      <c r="B50" s="43"/>
      <c r="C50" s="33"/>
      <c r="D50" s="44" t="s">
        <v>30</v>
      </c>
      <c r="E50" s="49" t="s">
        <v>11</v>
      </c>
      <c r="F50" s="33">
        <v>3</v>
      </c>
      <c r="G50" s="33">
        <v>7</v>
      </c>
      <c r="H50" s="33">
        <v>4</v>
      </c>
      <c r="I50" s="33">
        <v>1</v>
      </c>
      <c r="J50" s="33"/>
      <c r="K50" s="33">
        <v>2</v>
      </c>
      <c r="L50" s="33">
        <v>1</v>
      </c>
      <c r="M50" s="28">
        <f t="shared" si="6"/>
        <v>18</v>
      </c>
      <c r="N50" s="62">
        <v>14</v>
      </c>
      <c r="O50" s="63">
        <v>14</v>
      </c>
      <c r="P50" s="28">
        <f t="shared" si="5"/>
        <v>32</v>
      </c>
      <c r="Q50" s="9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23" x14ac:dyDescent="0.25">
      <c r="A51" s="1"/>
      <c r="B51" s="85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3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3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3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3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3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" x14ac:dyDescent="0.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" x14ac:dyDescent="0.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" x14ac:dyDescent="0.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" x14ac:dyDescent="0.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3" x14ac:dyDescent="0.1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3" x14ac:dyDescent="0.1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3" x14ac:dyDescent="0.1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3" x14ac:dyDescent="0.1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3" x14ac:dyDescent="0.1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3" x14ac:dyDescent="0.1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</sheetData>
  <mergeCells count="7">
    <mergeCell ref="B51:P51"/>
    <mergeCell ref="B1:P1"/>
    <mergeCell ref="A41:A50"/>
    <mergeCell ref="A3:A10"/>
    <mergeCell ref="A11:A20"/>
    <mergeCell ref="A21:A30"/>
    <mergeCell ref="A31:A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6"/>
  <sheetViews>
    <sheetView zoomScale="110" zoomScaleNormal="110" workbookViewId="0">
      <pane ySplit="2" topLeftCell="A3" activePane="bottomLeft" state="frozen"/>
      <selection pane="bottomLeft" activeCell="M7" sqref="M7"/>
    </sheetView>
  </sheetViews>
  <sheetFormatPr baseColWidth="10" defaultColWidth="12.6640625" defaultRowHeight="15.75" customHeight="1" x14ac:dyDescent="0.15"/>
  <cols>
    <col min="1" max="1" width="9.1640625" customWidth="1"/>
    <col min="2" max="2" width="14.5" customWidth="1"/>
    <col min="3" max="3" width="11.5" customWidth="1"/>
    <col min="4" max="4" width="12.33203125" customWidth="1"/>
    <col min="5" max="5" width="9" customWidth="1"/>
    <col min="6" max="7" width="4.6640625" customWidth="1"/>
    <col min="8" max="8" width="6.83203125" customWidth="1"/>
    <col min="9" max="10" width="4.6640625" customWidth="1"/>
    <col min="11" max="11" width="5.33203125" customWidth="1"/>
    <col min="12" max="12" width="9.5" customWidth="1"/>
    <col min="13" max="13" width="13.5" customWidth="1"/>
    <col min="14" max="14" width="14.1640625" customWidth="1"/>
    <col min="15" max="15" width="21.1640625" customWidth="1"/>
    <col min="16" max="16" width="10.1640625" customWidth="1"/>
  </cols>
  <sheetData>
    <row r="1" spans="1:27" ht="35" customHeight="1" thickBot="1" x14ac:dyDescent="0.3">
      <c r="A1" s="1"/>
      <c r="B1" s="95" t="s">
        <v>43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52" thickBot="1" x14ac:dyDescent="0.25">
      <c r="A2" s="78" t="s">
        <v>1</v>
      </c>
      <c r="B2" s="79" t="s">
        <v>13</v>
      </c>
      <c r="C2" s="80" t="s">
        <v>14</v>
      </c>
      <c r="D2" s="81" t="s">
        <v>15</v>
      </c>
      <c r="E2" s="26" t="s">
        <v>2</v>
      </c>
      <c r="F2" s="80" t="s">
        <v>16</v>
      </c>
      <c r="G2" s="80" t="s">
        <v>17</v>
      </c>
      <c r="H2" s="80" t="s">
        <v>18</v>
      </c>
      <c r="I2" s="80" t="s">
        <v>19</v>
      </c>
      <c r="J2" s="80" t="s">
        <v>20</v>
      </c>
      <c r="K2" s="80" t="s">
        <v>21</v>
      </c>
      <c r="L2" s="82" t="s">
        <v>22</v>
      </c>
      <c r="M2" s="81" t="s">
        <v>23</v>
      </c>
      <c r="N2" s="79" t="s">
        <v>24</v>
      </c>
      <c r="O2" s="83" t="s">
        <v>25</v>
      </c>
      <c r="P2" s="81" t="s">
        <v>26</v>
      </c>
      <c r="Q2" s="9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6" x14ac:dyDescent="0.2">
      <c r="A3" s="90" t="s">
        <v>42</v>
      </c>
      <c r="B3" s="35">
        <v>45932</v>
      </c>
      <c r="C3" s="10" t="s">
        <v>31</v>
      </c>
      <c r="D3" s="36" t="s">
        <v>29</v>
      </c>
      <c r="E3" s="45" t="s">
        <v>44</v>
      </c>
      <c r="F3" s="10">
        <f>C_Vehicles!F3+J_Vehicles!F3</f>
        <v>8</v>
      </c>
      <c r="G3" s="10">
        <f>C_Vehicles!G3+J_Vehicles!G3</f>
        <v>16</v>
      </c>
      <c r="H3" s="10">
        <f>C_Vehicles!H3+J_Vehicles!H3</f>
        <v>1</v>
      </c>
      <c r="I3" s="10">
        <f>C_Vehicles!I3+J_Vehicles!I3</f>
        <v>4</v>
      </c>
      <c r="J3" s="10">
        <f>C_Vehicles!J3+J_Vehicles!J3</f>
        <v>3</v>
      </c>
      <c r="K3" s="10">
        <f>C_Vehicles!K3+J_Vehicles!K3</f>
        <v>2</v>
      </c>
      <c r="L3" s="10">
        <f>C_Vehicles!L3+J_Vehicles!L3</f>
        <v>0</v>
      </c>
      <c r="M3" s="27">
        <f>SUM(F3:L3)</f>
        <v>34</v>
      </c>
      <c r="N3" s="50">
        <f>C_Vehicles!N3+J_Vehicles!N3</f>
        <v>17</v>
      </c>
      <c r="O3" s="51">
        <f>C_Vehicles!O3+J_Vehicles!O3</f>
        <v>6</v>
      </c>
      <c r="P3" s="27">
        <f t="shared" ref="P3:P50" si="0">M3+N3</f>
        <v>51</v>
      </c>
      <c r="Q3" s="9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7" thickBot="1" x14ac:dyDescent="0.25">
      <c r="A4" s="91"/>
      <c r="B4" s="37"/>
      <c r="C4" s="11"/>
      <c r="D4" s="38" t="s">
        <v>30</v>
      </c>
      <c r="E4" s="46" t="s">
        <v>44</v>
      </c>
      <c r="F4" s="11">
        <f>C_Vehicles!F4+J_Vehicles!F4</f>
        <v>6</v>
      </c>
      <c r="G4" s="11">
        <f>C_Vehicles!G4+J_Vehicles!G4</f>
        <v>9</v>
      </c>
      <c r="H4" s="11">
        <f>C_Vehicles!H4+J_Vehicles!H4</f>
        <v>4</v>
      </c>
      <c r="I4" s="11">
        <f>C_Vehicles!I4+J_Vehicles!I4</f>
        <v>2</v>
      </c>
      <c r="J4" s="11">
        <f>C_Vehicles!J4+J_Vehicles!J4</f>
        <v>3</v>
      </c>
      <c r="K4" s="11">
        <f>C_Vehicles!K4+J_Vehicles!K4</f>
        <v>3</v>
      </c>
      <c r="L4" s="11">
        <f>C_Vehicles!L4+J_Vehicles!L4</f>
        <v>1</v>
      </c>
      <c r="M4" s="28">
        <f>SUM(F4:L4)</f>
        <v>28</v>
      </c>
      <c r="N4" s="52">
        <f>C_Vehicles!N4+J_Vehicles!N4</f>
        <v>23</v>
      </c>
      <c r="O4" s="53">
        <f>C_Vehicles!O4+J_Vehicles!O4</f>
        <v>4</v>
      </c>
      <c r="P4" s="28">
        <f t="shared" si="0"/>
        <v>51</v>
      </c>
      <c r="Q4" s="9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6" x14ac:dyDescent="0.2">
      <c r="A5" s="91"/>
      <c r="B5" s="35">
        <v>45933</v>
      </c>
      <c r="C5" s="10" t="s">
        <v>32</v>
      </c>
      <c r="D5" s="36" t="s">
        <v>29</v>
      </c>
      <c r="E5" s="45" t="s">
        <v>44</v>
      </c>
      <c r="F5" s="10">
        <f>C_Vehicles!F5+J_Vehicles!F5</f>
        <v>10</v>
      </c>
      <c r="G5" s="10">
        <f>C_Vehicles!G5+J_Vehicles!G5</f>
        <v>20</v>
      </c>
      <c r="H5" s="10">
        <f>C_Vehicles!H5+J_Vehicles!H5</f>
        <v>8</v>
      </c>
      <c r="I5" s="10">
        <f>C_Vehicles!I5+J_Vehicles!I5</f>
        <v>4</v>
      </c>
      <c r="J5" s="10">
        <f>C_Vehicles!J5+J_Vehicles!J5</f>
        <v>0</v>
      </c>
      <c r="K5" s="10">
        <f>C_Vehicles!K5+J_Vehicles!K5</f>
        <v>3</v>
      </c>
      <c r="L5" s="10">
        <f>C_Vehicles!L5+J_Vehicles!L5</f>
        <v>2</v>
      </c>
      <c r="M5" s="27">
        <f t="shared" ref="M5:M20" si="1">SUM(F5:L5)</f>
        <v>47</v>
      </c>
      <c r="N5" s="50">
        <f>C_Vehicles!N5+J_Vehicles!N5</f>
        <v>37</v>
      </c>
      <c r="O5" s="51">
        <f>C_Vehicles!O5+J_Vehicles!O5</f>
        <v>6</v>
      </c>
      <c r="P5" s="27">
        <f t="shared" si="0"/>
        <v>84</v>
      </c>
      <c r="Q5" s="9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7" thickBot="1" x14ac:dyDescent="0.25">
      <c r="A6" s="91"/>
      <c r="B6" s="37"/>
      <c r="C6" s="11"/>
      <c r="D6" s="38" t="s">
        <v>30</v>
      </c>
      <c r="E6" s="46" t="s">
        <v>44</v>
      </c>
      <c r="F6" s="11">
        <f>C_Vehicles!F6+J_Vehicles!F6</f>
        <v>6</v>
      </c>
      <c r="G6" s="11">
        <f>C_Vehicles!G6+J_Vehicles!G6</f>
        <v>12</v>
      </c>
      <c r="H6" s="11">
        <f>C_Vehicles!H6+J_Vehicles!H6</f>
        <v>7</v>
      </c>
      <c r="I6" s="11">
        <f>C_Vehicles!I6+J_Vehicles!I6</f>
        <v>1</v>
      </c>
      <c r="J6" s="11">
        <f>C_Vehicles!J6+J_Vehicles!J6</f>
        <v>3</v>
      </c>
      <c r="K6" s="11">
        <f>C_Vehicles!K6+J_Vehicles!K6</f>
        <v>4</v>
      </c>
      <c r="L6" s="11">
        <f>C_Vehicles!L6+J_Vehicles!L6</f>
        <v>0</v>
      </c>
      <c r="M6" s="28">
        <f t="shared" si="1"/>
        <v>33</v>
      </c>
      <c r="N6" s="52">
        <f>C_Vehicles!N6+J_Vehicles!N6</f>
        <v>31</v>
      </c>
      <c r="O6" s="53">
        <f>C_Vehicles!O6+J_Vehicles!O6</f>
        <v>3</v>
      </c>
      <c r="P6" s="28">
        <f t="shared" si="0"/>
        <v>64</v>
      </c>
      <c r="Q6" s="9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" x14ac:dyDescent="0.2">
      <c r="A7" s="91"/>
      <c r="B7" s="64">
        <v>45934</v>
      </c>
      <c r="C7" s="65" t="s">
        <v>33</v>
      </c>
      <c r="D7" s="66" t="s">
        <v>29</v>
      </c>
      <c r="E7" s="67" t="s">
        <v>44</v>
      </c>
      <c r="F7" s="65">
        <f>C_Vehicles!F7+J_Vehicles!F7</f>
        <v>2</v>
      </c>
      <c r="G7" s="65">
        <f>C_Vehicles!G7+J_Vehicles!G7</f>
        <v>7</v>
      </c>
      <c r="H7" s="65">
        <f>C_Vehicles!H7+J_Vehicles!H7</f>
        <v>3</v>
      </c>
      <c r="I7" s="65">
        <f>C_Vehicles!I7+J_Vehicles!I7</f>
        <v>1</v>
      </c>
      <c r="J7" s="65">
        <f>C_Vehicles!J7+J_Vehicles!J7</f>
        <v>2</v>
      </c>
      <c r="K7" s="65">
        <f>C_Vehicles!K7+J_Vehicles!K7</f>
        <v>1</v>
      </c>
      <c r="L7" s="65">
        <f>C_Vehicles!L7+J_Vehicles!L7</f>
        <v>1</v>
      </c>
      <c r="M7" s="68">
        <f t="shared" si="1"/>
        <v>17</v>
      </c>
      <c r="N7" s="69">
        <f>C_Vehicles!N7+J_Vehicles!N7</f>
        <v>8</v>
      </c>
      <c r="O7" s="70">
        <f>C_Vehicles!O7+J_Vehicles!O7</f>
        <v>1</v>
      </c>
      <c r="P7" s="68">
        <f t="shared" si="0"/>
        <v>25</v>
      </c>
      <c r="Q7" s="9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7" thickBot="1" x14ac:dyDescent="0.25">
      <c r="A8" s="91"/>
      <c r="B8" s="71"/>
      <c r="C8" s="72"/>
      <c r="D8" s="73" t="s">
        <v>30</v>
      </c>
      <c r="E8" s="74" t="s">
        <v>44</v>
      </c>
      <c r="F8" s="72">
        <f>C_Vehicles!F8+J_Vehicles!F8</f>
        <v>2</v>
      </c>
      <c r="G8" s="72">
        <f>C_Vehicles!G8+J_Vehicles!G8</f>
        <v>6</v>
      </c>
      <c r="H8" s="72">
        <f>C_Vehicles!H8+J_Vehicles!H8</f>
        <v>1</v>
      </c>
      <c r="I8" s="72">
        <f>C_Vehicles!I8+J_Vehicles!I8</f>
        <v>0</v>
      </c>
      <c r="J8" s="72">
        <f>C_Vehicles!J8+J_Vehicles!J8</f>
        <v>1</v>
      </c>
      <c r="K8" s="72">
        <f>C_Vehicles!K8+J_Vehicles!K8</f>
        <v>1</v>
      </c>
      <c r="L8" s="72">
        <f>C_Vehicles!L8+J_Vehicles!L8</f>
        <v>1</v>
      </c>
      <c r="M8" s="75">
        <f t="shared" si="1"/>
        <v>12</v>
      </c>
      <c r="N8" s="76">
        <f>C_Vehicles!N8+J_Vehicles!N8</f>
        <v>8</v>
      </c>
      <c r="O8" s="84">
        <f>C_Vehicles!O8+J_Vehicles!O8</f>
        <v>1</v>
      </c>
      <c r="P8" s="75">
        <f t="shared" si="0"/>
        <v>20</v>
      </c>
      <c r="Q8" s="9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" x14ac:dyDescent="0.2">
      <c r="A9" s="91"/>
      <c r="B9" s="64">
        <v>45935</v>
      </c>
      <c r="C9" s="65" t="s">
        <v>34</v>
      </c>
      <c r="D9" s="66" t="s">
        <v>29</v>
      </c>
      <c r="E9" s="67" t="s">
        <v>44</v>
      </c>
      <c r="F9" s="65">
        <f>C_Vehicles!F9+J_Vehicles!F9</f>
        <v>2</v>
      </c>
      <c r="G9" s="65">
        <f>C_Vehicles!G9+J_Vehicles!G9</f>
        <v>5</v>
      </c>
      <c r="H9" s="65">
        <f>C_Vehicles!H9+J_Vehicles!H9</f>
        <v>0</v>
      </c>
      <c r="I9" s="65">
        <f>C_Vehicles!I9+J_Vehicles!I9</f>
        <v>0</v>
      </c>
      <c r="J9" s="65">
        <f>C_Vehicles!J9+J_Vehicles!J9</f>
        <v>1</v>
      </c>
      <c r="K9" s="65">
        <f>C_Vehicles!K9+J_Vehicles!K9</f>
        <v>0</v>
      </c>
      <c r="L9" s="65">
        <f>C_Vehicles!L9+J_Vehicles!L9</f>
        <v>0</v>
      </c>
      <c r="M9" s="68">
        <f t="shared" si="1"/>
        <v>8</v>
      </c>
      <c r="N9" s="69">
        <f>C_Vehicles!N9+J_Vehicles!N9</f>
        <v>6</v>
      </c>
      <c r="O9" s="70">
        <f>C_Vehicles!O9+J_Vehicles!O9</f>
        <v>0</v>
      </c>
      <c r="P9" s="68">
        <f t="shared" si="0"/>
        <v>14</v>
      </c>
      <c r="Q9" s="9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7" thickBot="1" x14ac:dyDescent="0.25">
      <c r="A10" s="92"/>
      <c r="B10" s="71"/>
      <c r="C10" s="72"/>
      <c r="D10" s="73" t="s">
        <v>30</v>
      </c>
      <c r="E10" s="74" t="s">
        <v>44</v>
      </c>
      <c r="F10" s="72">
        <f>C_Vehicles!F10+J_Vehicles!F10</f>
        <v>0</v>
      </c>
      <c r="G10" s="72">
        <f>C_Vehicles!G10+J_Vehicles!G10</f>
        <v>4</v>
      </c>
      <c r="H10" s="72">
        <f>C_Vehicles!H10+J_Vehicles!H10</f>
        <v>1</v>
      </c>
      <c r="I10" s="72">
        <f>C_Vehicles!I10+J_Vehicles!I10</f>
        <v>0</v>
      </c>
      <c r="J10" s="72">
        <f>C_Vehicles!J10+J_Vehicles!J10</f>
        <v>1</v>
      </c>
      <c r="K10" s="72">
        <f>C_Vehicles!K10+J_Vehicles!K10</f>
        <v>0</v>
      </c>
      <c r="L10" s="72">
        <f>C_Vehicles!L10+J_Vehicles!L10</f>
        <v>1</v>
      </c>
      <c r="M10" s="75">
        <f t="shared" si="1"/>
        <v>7</v>
      </c>
      <c r="N10" s="76">
        <f>C_Vehicles!N10+J_Vehicles!N10</f>
        <v>5</v>
      </c>
      <c r="O10" s="77">
        <f>C_Vehicles!O10+J_Vehicles!O10</f>
        <v>1</v>
      </c>
      <c r="P10" s="75">
        <f t="shared" si="0"/>
        <v>12</v>
      </c>
      <c r="Q10" s="9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" x14ac:dyDescent="0.2">
      <c r="A11" s="93" t="s">
        <v>27</v>
      </c>
      <c r="B11" s="39">
        <v>45936</v>
      </c>
      <c r="C11" s="12" t="s">
        <v>36</v>
      </c>
      <c r="D11" s="40" t="s">
        <v>29</v>
      </c>
      <c r="E11" s="47" t="s">
        <v>44</v>
      </c>
      <c r="F11" s="12">
        <f>C_Vehicles!F11+J_Vehicles!F11</f>
        <v>7</v>
      </c>
      <c r="G11" s="12">
        <f>C_Vehicles!G11+J_Vehicles!G11</f>
        <v>20</v>
      </c>
      <c r="H11" s="12">
        <f>C_Vehicles!H11+J_Vehicles!H11</f>
        <v>5</v>
      </c>
      <c r="I11" s="12">
        <f>C_Vehicles!I11+J_Vehicles!I11</f>
        <v>3</v>
      </c>
      <c r="J11" s="12">
        <f>C_Vehicles!J11+J_Vehicles!J11</f>
        <v>1</v>
      </c>
      <c r="K11" s="12">
        <f>C_Vehicles!K11+J_Vehicles!K11</f>
        <v>1</v>
      </c>
      <c r="L11" s="12">
        <f>C_Vehicles!L11+J_Vehicles!L11</f>
        <v>2</v>
      </c>
      <c r="M11" s="29">
        <f t="shared" si="1"/>
        <v>39</v>
      </c>
      <c r="N11" s="54">
        <f>C_Vehicles!N11+J_Vehicles!N11</f>
        <v>20</v>
      </c>
      <c r="O11" s="55">
        <f>C_Vehicles!O11+J_Vehicles!O11</f>
        <v>13</v>
      </c>
      <c r="P11" s="29">
        <f t="shared" si="0"/>
        <v>59</v>
      </c>
      <c r="Q11" s="9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7" thickBot="1" x14ac:dyDescent="0.25">
      <c r="A12" s="88"/>
      <c r="B12" s="41"/>
      <c r="C12" s="13"/>
      <c r="D12" s="42" t="s">
        <v>30</v>
      </c>
      <c r="E12" s="48" t="s">
        <v>44</v>
      </c>
      <c r="F12" s="13">
        <f>C_Vehicles!F12+J_Vehicles!F12</f>
        <v>9</v>
      </c>
      <c r="G12" s="13">
        <f>C_Vehicles!G12+J_Vehicles!G12</f>
        <v>17</v>
      </c>
      <c r="H12" s="13">
        <f>C_Vehicles!H12+J_Vehicles!H12</f>
        <v>2</v>
      </c>
      <c r="I12" s="13">
        <f>C_Vehicles!I12+J_Vehicles!I12</f>
        <v>2</v>
      </c>
      <c r="J12" s="13">
        <f>C_Vehicles!J12+J_Vehicles!J12</f>
        <v>3</v>
      </c>
      <c r="K12" s="13">
        <f>C_Vehicles!K12+J_Vehicles!K12</f>
        <v>1</v>
      </c>
      <c r="L12" s="13">
        <f>C_Vehicles!L12+J_Vehicles!L12</f>
        <v>3</v>
      </c>
      <c r="M12" s="30">
        <f t="shared" si="1"/>
        <v>37</v>
      </c>
      <c r="N12" s="56">
        <f>C_Vehicles!N12+J_Vehicles!N12</f>
        <v>20</v>
      </c>
      <c r="O12" s="57">
        <f>C_Vehicles!O12+J_Vehicles!O12</f>
        <v>14</v>
      </c>
      <c r="P12" s="30">
        <f t="shared" si="0"/>
        <v>57</v>
      </c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6" x14ac:dyDescent="0.2">
      <c r="A13" s="88"/>
      <c r="B13" s="39">
        <v>45937</v>
      </c>
      <c r="C13" s="12" t="s">
        <v>37</v>
      </c>
      <c r="D13" s="40" t="s">
        <v>29</v>
      </c>
      <c r="E13" s="47" t="s">
        <v>44</v>
      </c>
      <c r="F13" s="12">
        <f>C_Vehicles!F13+J_Vehicles!F13</f>
        <v>7</v>
      </c>
      <c r="G13" s="12">
        <f>C_Vehicles!G13+J_Vehicles!G13</f>
        <v>18</v>
      </c>
      <c r="H13" s="12">
        <f>C_Vehicles!H13+J_Vehicles!H13</f>
        <v>7</v>
      </c>
      <c r="I13" s="12">
        <f>C_Vehicles!I13+J_Vehicles!I13</f>
        <v>5</v>
      </c>
      <c r="J13" s="12">
        <f>C_Vehicles!J13+J_Vehicles!J13</f>
        <v>1</v>
      </c>
      <c r="K13" s="12">
        <f>C_Vehicles!K13+J_Vehicles!K13</f>
        <v>2</v>
      </c>
      <c r="L13" s="12">
        <f>C_Vehicles!L13+J_Vehicles!L13</f>
        <v>2</v>
      </c>
      <c r="M13" s="29">
        <f t="shared" si="1"/>
        <v>42</v>
      </c>
      <c r="N13" s="54">
        <f>C_Vehicles!N13+J_Vehicles!N13</f>
        <v>22</v>
      </c>
      <c r="O13" s="55">
        <f>C_Vehicles!O13+J_Vehicles!O13</f>
        <v>15</v>
      </c>
      <c r="P13" s="29">
        <f t="shared" si="0"/>
        <v>64</v>
      </c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7" thickBot="1" x14ac:dyDescent="0.25">
      <c r="A14" s="88"/>
      <c r="B14" s="41"/>
      <c r="C14" s="13"/>
      <c r="D14" s="42" t="s">
        <v>30</v>
      </c>
      <c r="E14" s="48" t="s">
        <v>44</v>
      </c>
      <c r="F14" s="13">
        <f>C_Vehicles!F14+J_Vehicles!F14</f>
        <v>8</v>
      </c>
      <c r="G14" s="13">
        <f>C_Vehicles!G14+J_Vehicles!G14</f>
        <v>16</v>
      </c>
      <c r="H14" s="13">
        <f>C_Vehicles!H14+J_Vehicles!H14</f>
        <v>8</v>
      </c>
      <c r="I14" s="13">
        <f>C_Vehicles!I14+J_Vehicles!I14</f>
        <v>2</v>
      </c>
      <c r="J14" s="13">
        <f>C_Vehicles!J14+J_Vehicles!J14</f>
        <v>0</v>
      </c>
      <c r="K14" s="13">
        <f>C_Vehicles!K14+J_Vehicles!K14</f>
        <v>0</v>
      </c>
      <c r="L14" s="13">
        <f>C_Vehicles!L14+J_Vehicles!L14</f>
        <v>2</v>
      </c>
      <c r="M14" s="30">
        <f t="shared" si="1"/>
        <v>36</v>
      </c>
      <c r="N14" s="56">
        <f>C_Vehicles!N14+J_Vehicles!N14</f>
        <v>23</v>
      </c>
      <c r="O14" s="57">
        <f>C_Vehicles!O14+J_Vehicles!O14</f>
        <v>15</v>
      </c>
      <c r="P14" s="30">
        <f t="shared" si="0"/>
        <v>59</v>
      </c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" x14ac:dyDescent="0.2">
      <c r="A15" s="88"/>
      <c r="B15" s="39">
        <v>45938</v>
      </c>
      <c r="C15" s="12" t="s">
        <v>28</v>
      </c>
      <c r="D15" s="40" t="s">
        <v>29</v>
      </c>
      <c r="E15" s="47" t="s">
        <v>44</v>
      </c>
      <c r="F15" s="12">
        <f>C_Vehicles!F15+J_Vehicles!F15</f>
        <v>12</v>
      </c>
      <c r="G15" s="12">
        <f>C_Vehicles!G15+J_Vehicles!G15</f>
        <v>22</v>
      </c>
      <c r="H15" s="12">
        <f>C_Vehicles!H15+J_Vehicles!H15</f>
        <v>10</v>
      </c>
      <c r="I15" s="12">
        <f>C_Vehicles!I15+J_Vehicles!I15</f>
        <v>2</v>
      </c>
      <c r="J15" s="12">
        <f>C_Vehicles!J15+J_Vehicles!J15</f>
        <v>3</v>
      </c>
      <c r="K15" s="12">
        <f>C_Vehicles!K15+J_Vehicles!K15</f>
        <v>1</v>
      </c>
      <c r="L15" s="12">
        <f>C_Vehicles!L15+J_Vehicles!L15</f>
        <v>2</v>
      </c>
      <c r="M15" s="29">
        <f t="shared" si="1"/>
        <v>52</v>
      </c>
      <c r="N15" s="54">
        <f>C_Vehicles!N15+J_Vehicles!N15</f>
        <v>35</v>
      </c>
      <c r="O15" s="55">
        <f>C_Vehicles!O15+J_Vehicles!O15</f>
        <v>12</v>
      </c>
      <c r="P15" s="29">
        <f t="shared" si="0"/>
        <v>87</v>
      </c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7" thickBot="1" x14ac:dyDescent="0.25">
      <c r="A16" s="88"/>
      <c r="B16" s="41"/>
      <c r="C16" s="13"/>
      <c r="D16" s="42" t="s">
        <v>30</v>
      </c>
      <c r="E16" s="48" t="s">
        <v>44</v>
      </c>
      <c r="F16" s="13">
        <f>C_Vehicles!F16+J_Vehicles!F16</f>
        <v>9</v>
      </c>
      <c r="G16" s="13">
        <f>C_Vehicles!G16+J_Vehicles!G16</f>
        <v>19</v>
      </c>
      <c r="H16" s="13">
        <f>C_Vehicles!H16+J_Vehicles!H16</f>
        <v>10</v>
      </c>
      <c r="I16" s="13">
        <f>C_Vehicles!I16+J_Vehicles!I16</f>
        <v>2</v>
      </c>
      <c r="J16" s="13">
        <f>C_Vehicles!J16+J_Vehicles!J16</f>
        <v>4</v>
      </c>
      <c r="K16" s="13">
        <f>C_Vehicles!K16+J_Vehicles!K16</f>
        <v>1</v>
      </c>
      <c r="L16" s="13">
        <f>C_Vehicles!L16+J_Vehicles!L16</f>
        <v>2</v>
      </c>
      <c r="M16" s="30">
        <f t="shared" si="1"/>
        <v>47</v>
      </c>
      <c r="N16" s="56">
        <f>C_Vehicles!N16+J_Vehicles!N16</f>
        <v>30</v>
      </c>
      <c r="O16" s="57">
        <f>C_Vehicles!O16+J_Vehicles!O16</f>
        <v>13</v>
      </c>
      <c r="P16" s="30">
        <f t="shared" si="0"/>
        <v>77</v>
      </c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6" x14ac:dyDescent="0.2">
      <c r="A17" s="88"/>
      <c r="B17" s="39">
        <v>45939</v>
      </c>
      <c r="C17" s="12" t="s">
        <v>31</v>
      </c>
      <c r="D17" s="40" t="s">
        <v>29</v>
      </c>
      <c r="E17" s="47" t="s">
        <v>44</v>
      </c>
      <c r="F17" s="12">
        <f>C_Vehicles!F17+J_Vehicles!F17</f>
        <v>6</v>
      </c>
      <c r="G17" s="12">
        <f>C_Vehicles!G17+J_Vehicles!G17</f>
        <v>22</v>
      </c>
      <c r="H17" s="12">
        <f>C_Vehicles!H17+J_Vehicles!H17</f>
        <v>12</v>
      </c>
      <c r="I17" s="12">
        <f>C_Vehicles!I17+J_Vehicles!I17</f>
        <v>5</v>
      </c>
      <c r="J17" s="12">
        <f>C_Vehicles!J17+J_Vehicles!J17</f>
        <v>3</v>
      </c>
      <c r="K17" s="12">
        <f>C_Vehicles!K17+J_Vehicles!K17</f>
        <v>3</v>
      </c>
      <c r="L17" s="12">
        <f>C_Vehicles!L17+J_Vehicles!L17</f>
        <v>4</v>
      </c>
      <c r="M17" s="29">
        <f t="shared" si="1"/>
        <v>55</v>
      </c>
      <c r="N17" s="54">
        <f>C_Vehicles!N17+J_Vehicles!N17</f>
        <v>38</v>
      </c>
      <c r="O17" s="55">
        <f>C_Vehicles!O17+J_Vehicles!O17</f>
        <v>18</v>
      </c>
      <c r="P17" s="29">
        <f t="shared" si="0"/>
        <v>93</v>
      </c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7" thickBot="1" x14ac:dyDescent="0.25">
      <c r="A18" s="88"/>
      <c r="B18" s="41"/>
      <c r="C18" s="13"/>
      <c r="D18" s="42" t="s">
        <v>30</v>
      </c>
      <c r="E18" s="48" t="s">
        <v>44</v>
      </c>
      <c r="F18" s="13">
        <f>C_Vehicles!F18+J_Vehicles!F18</f>
        <v>9</v>
      </c>
      <c r="G18" s="13">
        <f>C_Vehicles!G18+J_Vehicles!G18</f>
        <v>19</v>
      </c>
      <c r="H18" s="13">
        <f>C_Vehicles!H18+J_Vehicles!H18</f>
        <v>10</v>
      </c>
      <c r="I18" s="13">
        <f>C_Vehicles!I18+J_Vehicles!I18</f>
        <v>2</v>
      </c>
      <c r="J18" s="13">
        <f>C_Vehicles!J18+J_Vehicles!J18</f>
        <v>1</v>
      </c>
      <c r="K18" s="13">
        <f>C_Vehicles!K18+J_Vehicles!K18</f>
        <v>1</v>
      </c>
      <c r="L18" s="13">
        <f>C_Vehicles!L18+J_Vehicles!L18</f>
        <v>2</v>
      </c>
      <c r="M18" s="30">
        <f t="shared" si="1"/>
        <v>44</v>
      </c>
      <c r="N18" s="56">
        <f>C_Vehicles!N18+J_Vehicles!N18</f>
        <v>36</v>
      </c>
      <c r="O18" s="57">
        <f>C_Vehicles!O18+J_Vehicles!O18</f>
        <v>13</v>
      </c>
      <c r="P18" s="30">
        <f t="shared" si="0"/>
        <v>80</v>
      </c>
      <c r="Q18" s="9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6" x14ac:dyDescent="0.2">
      <c r="A19" s="88"/>
      <c r="B19" s="39">
        <v>45940</v>
      </c>
      <c r="C19" s="12" t="s">
        <v>32</v>
      </c>
      <c r="D19" s="40" t="s">
        <v>29</v>
      </c>
      <c r="E19" s="47" t="s">
        <v>44</v>
      </c>
      <c r="F19" s="12">
        <f>C_Vehicles!F19+J_Vehicles!F19</f>
        <v>9</v>
      </c>
      <c r="G19" s="12">
        <f>C_Vehicles!G19+J_Vehicles!G19</f>
        <v>19</v>
      </c>
      <c r="H19" s="12">
        <f>C_Vehicles!H19+J_Vehicles!H19</f>
        <v>20</v>
      </c>
      <c r="I19" s="12">
        <f>C_Vehicles!I19+J_Vehicles!I19</f>
        <v>1</v>
      </c>
      <c r="J19" s="12">
        <f>C_Vehicles!J19+J_Vehicles!J19</f>
        <v>3</v>
      </c>
      <c r="K19" s="12">
        <f>C_Vehicles!K19+J_Vehicles!K19</f>
        <v>2</v>
      </c>
      <c r="L19" s="12">
        <f>C_Vehicles!L19+J_Vehicles!L19</f>
        <v>2</v>
      </c>
      <c r="M19" s="29">
        <f t="shared" si="1"/>
        <v>56</v>
      </c>
      <c r="N19" s="54">
        <f>C_Vehicles!N19+J_Vehicles!N19</f>
        <v>26</v>
      </c>
      <c r="O19" s="55">
        <f>C_Vehicles!O19+J_Vehicles!O19</f>
        <v>7</v>
      </c>
      <c r="P19" s="29">
        <f t="shared" si="0"/>
        <v>82</v>
      </c>
      <c r="Q19" s="9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7" thickBot="1" x14ac:dyDescent="0.25">
      <c r="A20" s="88"/>
      <c r="B20" s="41"/>
      <c r="C20" s="13"/>
      <c r="D20" s="42" t="s">
        <v>30</v>
      </c>
      <c r="E20" s="48" t="s">
        <v>44</v>
      </c>
      <c r="F20" s="13">
        <f>C_Vehicles!F20+J_Vehicles!F20</f>
        <v>11</v>
      </c>
      <c r="G20" s="13">
        <f>C_Vehicles!G20+J_Vehicles!G20</f>
        <v>25</v>
      </c>
      <c r="H20" s="13">
        <f>C_Vehicles!H20+J_Vehicles!H20</f>
        <v>23</v>
      </c>
      <c r="I20" s="13">
        <f>C_Vehicles!I20+J_Vehicles!I20</f>
        <v>0</v>
      </c>
      <c r="J20" s="13">
        <f>C_Vehicles!J20+J_Vehicles!J20</f>
        <v>2</v>
      </c>
      <c r="K20" s="13">
        <f>C_Vehicles!K20+J_Vehicles!K20</f>
        <v>3</v>
      </c>
      <c r="L20" s="13">
        <f>C_Vehicles!L20+J_Vehicles!L20</f>
        <v>1</v>
      </c>
      <c r="M20" s="30">
        <f t="shared" si="1"/>
        <v>65</v>
      </c>
      <c r="N20" s="56">
        <f>C_Vehicles!N20+J_Vehicles!N20</f>
        <v>32</v>
      </c>
      <c r="O20" s="57">
        <f>C_Vehicles!O20+J_Vehicles!O20</f>
        <v>12</v>
      </c>
      <c r="P20" s="30">
        <f t="shared" si="0"/>
        <v>97</v>
      </c>
      <c r="Q20" s="9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6" x14ac:dyDescent="0.2">
      <c r="A21" s="94" t="s">
        <v>35</v>
      </c>
      <c r="B21" s="35">
        <v>45943</v>
      </c>
      <c r="C21" s="10" t="s">
        <v>36</v>
      </c>
      <c r="D21" s="36" t="s">
        <v>29</v>
      </c>
      <c r="E21" s="45" t="s">
        <v>44</v>
      </c>
      <c r="F21" s="10">
        <f>C_Vehicles!F21+J_Vehicles!F21</f>
        <v>6</v>
      </c>
      <c r="G21" s="10">
        <f>C_Vehicles!G21+J_Vehicles!G21</f>
        <v>16</v>
      </c>
      <c r="H21" s="10">
        <f>C_Vehicles!H21+J_Vehicles!H21</f>
        <v>3</v>
      </c>
      <c r="I21" s="10">
        <f>C_Vehicles!I21+J_Vehicles!I21</f>
        <v>6</v>
      </c>
      <c r="J21" s="10">
        <f>C_Vehicles!J21+J_Vehicles!J21</f>
        <v>2</v>
      </c>
      <c r="K21" s="10">
        <f>C_Vehicles!K21+J_Vehicles!K21</f>
        <v>1</v>
      </c>
      <c r="L21" s="10">
        <f>C_Vehicles!L21+J_Vehicles!L21</f>
        <v>3</v>
      </c>
      <c r="M21" s="27">
        <f t="shared" ref="M21:M40" si="2">SUM(F21:L21)</f>
        <v>37</v>
      </c>
      <c r="N21" s="50">
        <f>C_Vehicles!N21+J_Vehicles!N21</f>
        <v>24</v>
      </c>
      <c r="O21" s="51">
        <f>C_Vehicles!O21+J_Vehicles!O21</f>
        <v>13</v>
      </c>
      <c r="P21" s="27">
        <f t="shared" si="0"/>
        <v>61</v>
      </c>
      <c r="Q21" s="9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7" thickBot="1" x14ac:dyDescent="0.25">
      <c r="A22" s="88"/>
      <c r="B22" s="37"/>
      <c r="C22" s="11"/>
      <c r="D22" s="38" t="s">
        <v>30</v>
      </c>
      <c r="E22" s="46" t="s">
        <v>44</v>
      </c>
      <c r="F22" s="11">
        <f>C_Vehicles!F22+J_Vehicles!F22</f>
        <v>8</v>
      </c>
      <c r="G22" s="11">
        <f>C_Vehicles!G22+J_Vehicles!G22</f>
        <v>12</v>
      </c>
      <c r="H22" s="11">
        <f>C_Vehicles!H22+J_Vehicles!H22</f>
        <v>2</v>
      </c>
      <c r="I22" s="11">
        <f>C_Vehicles!I22+J_Vehicles!I22</f>
        <v>5</v>
      </c>
      <c r="J22" s="11">
        <f>C_Vehicles!J22+J_Vehicles!J22</f>
        <v>0</v>
      </c>
      <c r="K22" s="11">
        <f>C_Vehicles!K22+J_Vehicles!K22</f>
        <v>2</v>
      </c>
      <c r="L22" s="11">
        <f>C_Vehicles!L22+J_Vehicles!L22</f>
        <v>3</v>
      </c>
      <c r="M22" s="28">
        <f t="shared" si="2"/>
        <v>32</v>
      </c>
      <c r="N22" s="52">
        <f>C_Vehicles!N22+J_Vehicles!N22</f>
        <v>18</v>
      </c>
      <c r="O22" s="53">
        <f>C_Vehicles!O22+J_Vehicles!O22</f>
        <v>7</v>
      </c>
      <c r="P22" s="28">
        <f t="shared" si="0"/>
        <v>50</v>
      </c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" x14ac:dyDescent="0.2">
      <c r="A23" s="88"/>
      <c r="B23" s="35">
        <v>45944</v>
      </c>
      <c r="C23" s="10" t="s">
        <v>37</v>
      </c>
      <c r="D23" s="36" t="s">
        <v>29</v>
      </c>
      <c r="E23" s="45" t="s">
        <v>44</v>
      </c>
      <c r="F23" s="10">
        <f>C_Vehicles!F23+J_Vehicles!F23</f>
        <v>7</v>
      </c>
      <c r="G23" s="10">
        <f>C_Vehicles!G23+J_Vehicles!G23</f>
        <v>18</v>
      </c>
      <c r="H23" s="10">
        <f>C_Vehicles!H23+J_Vehicles!H23</f>
        <v>13</v>
      </c>
      <c r="I23" s="10">
        <f>C_Vehicles!I23+J_Vehicles!I23</f>
        <v>3</v>
      </c>
      <c r="J23" s="10">
        <f>C_Vehicles!J23+J_Vehicles!J23</f>
        <v>2</v>
      </c>
      <c r="K23" s="10">
        <f>C_Vehicles!K23+J_Vehicles!K23</f>
        <v>5</v>
      </c>
      <c r="L23" s="10">
        <f>C_Vehicles!L23+J_Vehicles!L23</f>
        <v>4</v>
      </c>
      <c r="M23" s="27">
        <f t="shared" si="2"/>
        <v>52</v>
      </c>
      <c r="N23" s="50">
        <f>C_Vehicles!N23+J_Vehicles!N23</f>
        <v>37</v>
      </c>
      <c r="O23" s="51">
        <f>C_Vehicles!O23+J_Vehicles!O23</f>
        <v>13</v>
      </c>
      <c r="P23" s="27">
        <f t="shared" si="0"/>
        <v>89</v>
      </c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7" thickBot="1" x14ac:dyDescent="0.25">
      <c r="A24" s="88"/>
      <c r="B24" s="37"/>
      <c r="C24" s="11"/>
      <c r="D24" s="38" t="s">
        <v>30</v>
      </c>
      <c r="E24" s="46" t="s">
        <v>44</v>
      </c>
      <c r="F24" s="11">
        <f>C_Vehicles!F24+J_Vehicles!F24</f>
        <v>10</v>
      </c>
      <c r="G24" s="11">
        <f>C_Vehicles!G24+J_Vehicles!G24</f>
        <v>20</v>
      </c>
      <c r="H24" s="11">
        <f>C_Vehicles!H24+J_Vehicles!H24</f>
        <v>10</v>
      </c>
      <c r="I24" s="11">
        <f>C_Vehicles!I24+J_Vehicles!I24</f>
        <v>2</v>
      </c>
      <c r="J24" s="11">
        <f>C_Vehicles!J24+J_Vehicles!J24</f>
        <v>3</v>
      </c>
      <c r="K24" s="11">
        <f>C_Vehicles!K24+J_Vehicles!K24</f>
        <v>6</v>
      </c>
      <c r="L24" s="11">
        <f>C_Vehicles!L24+J_Vehicles!L24</f>
        <v>4</v>
      </c>
      <c r="M24" s="28">
        <f t="shared" si="2"/>
        <v>55</v>
      </c>
      <c r="N24" s="52">
        <f>C_Vehicles!N24+J_Vehicles!N24</f>
        <v>33</v>
      </c>
      <c r="O24" s="53">
        <f>C_Vehicles!O24+J_Vehicles!O24</f>
        <v>17</v>
      </c>
      <c r="P24" s="28">
        <f t="shared" si="0"/>
        <v>88</v>
      </c>
      <c r="Q24" s="9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6" x14ac:dyDescent="0.2">
      <c r="A25" s="88"/>
      <c r="B25" s="35">
        <v>45945</v>
      </c>
      <c r="C25" s="10" t="s">
        <v>28</v>
      </c>
      <c r="D25" s="36" t="s">
        <v>29</v>
      </c>
      <c r="E25" s="45" t="s">
        <v>44</v>
      </c>
      <c r="F25" s="10">
        <f>C_Vehicles!F25+J_Vehicles!F25</f>
        <v>9</v>
      </c>
      <c r="G25" s="10">
        <f>C_Vehicles!G25+J_Vehicles!G25</f>
        <v>20</v>
      </c>
      <c r="H25" s="10">
        <f>C_Vehicles!H25+J_Vehicles!H25</f>
        <v>8</v>
      </c>
      <c r="I25" s="10">
        <f>C_Vehicles!I25+J_Vehicles!I25</f>
        <v>1</v>
      </c>
      <c r="J25" s="10">
        <f>C_Vehicles!J25+J_Vehicles!J25</f>
        <v>3</v>
      </c>
      <c r="K25" s="10">
        <f>C_Vehicles!K25+J_Vehicles!K25</f>
        <v>2</v>
      </c>
      <c r="L25" s="10">
        <f>C_Vehicles!L25+J_Vehicles!L25</f>
        <v>3</v>
      </c>
      <c r="M25" s="27">
        <f t="shared" si="2"/>
        <v>46</v>
      </c>
      <c r="N25" s="50">
        <f>C_Vehicles!N25+J_Vehicles!N25</f>
        <v>36</v>
      </c>
      <c r="O25" s="51">
        <f>C_Vehicles!O25+J_Vehicles!O25</f>
        <v>19</v>
      </c>
      <c r="P25" s="27">
        <f t="shared" si="0"/>
        <v>82</v>
      </c>
      <c r="Q25" s="9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7" thickBot="1" x14ac:dyDescent="0.25">
      <c r="A26" s="88"/>
      <c r="B26" s="37"/>
      <c r="C26" s="11"/>
      <c r="D26" s="38" t="s">
        <v>30</v>
      </c>
      <c r="E26" s="46" t="s">
        <v>44</v>
      </c>
      <c r="F26" s="11">
        <f>C_Vehicles!F26+J_Vehicles!F26</f>
        <v>8</v>
      </c>
      <c r="G26" s="11">
        <f>C_Vehicles!G26+J_Vehicles!G26</f>
        <v>20</v>
      </c>
      <c r="H26" s="11">
        <f>C_Vehicles!H26+J_Vehicles!H26</f>
        <v>4</v>
      </c>
      <c r="I26" s="11">
        <f>C_Vehicles!I26+J_Vehicles!I26</f>
        <v>2</v>
      </c>
      <c r="J26" s="11">
        <f>C_Vehicles!J26+J_Vehicles!J26</f>
        <v>1</v>
      </c>
      <c r="K26" s="11">
        <f>C_Vehicles!K26+J_Vehicles!K26</f>
        <v>2</v>
      </c>
      <c r="L26" s="11">
        <f>C_Vehicles!L26+J_Vehicles!L26</f>
        <v>0</v>
      </c>
      <c r="M26" s="28">
        <f t="shared" si="2"/>
        <v>37</v>
      </c>
      <c r="N26" s="52">
        <f>C_Vehicles!N26+J_Vehicles!N26</f>
        <v>35</v>
      </c>
      <c r="O26" s="53">
        <f>C_Vehicles!O26+J_Vehicles!O26</f>
        <v>13</v>
      </c>
      <c r="P26" s="28">
        <f t="shared" si="0"/>
        <v>72</v>
      </c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6" x14ac:dyDescent="0.2">
      <c r="A27" s="88"/>
      <c r="B27" s="35">
        <v>45946</v>
      </c>
      <c r="C27" s="10" t="s">
        <v>31</v>
      </c>
      <c r="D27" s="36" t="s">
        <v>29</v>
      </c>
      <c r="E27" s="45" t="s">
        <v>44</v>
      </c>
      <c r="F27" s="10">
        <f>C_Vehicles!F27+J_Vehicles!F27</f>
        <v>8</v>
      </c>
      <c r="G27" s="10">
        <f>C_Vehicles!G27+J_Vehicles!G27</f>
        <v>21</v>
      </c>
      <c r="H27" s="10">
        <f>C_Vehicles!H27+J_Vehicles!H27</f>
        <v>4</v>
      </c>
      <c r="I27" s="10">
        <f>C_Vehicles!I27+J_Vehicles!I27</f>
        <v>4</v>
      </c>
      <c r="J27" s="10">
        <f>C_Vehicles!J27+J_Vehicles!J27</f>
        <v>3</v>
      </c>
      <c r="K27" s="10">
        <f>C_Vehicles!K27+J_Vehicles!K27</f>
        <v>5</v>
      </c>
      <c r="L27" s="10">
        <f>C_Vehicles!L27+J_Vehicles!L27</f>
        <v>1</v>
      </c>
      <c r="M27" s="27">
        <f t="shared" si="2"/>
        <v>46</v>
      </c>
      <c r="N27" s="50">
        <f>C_Vehicles!N27+J_Vehicles!N27</f>
        <v>37</v>
      </c>
      <c r="O27" s="51">
        <f>C_Vehicles!O27+J_Vehicles!O27</f>
        <v>22</v>
      </c>
      <c r="P27" s="27">
        <f t="shared" si="0"/>
        <v>83</v>
      </c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7" thickBot="1" x14ac:dyDescent="0.25">
      <c r="A28" s="88"/>
      <c r="B28" s="37"/>
      <c r="C28" s="11"/>
      <c r="D28" s="38" t="s">
        <v>30</v>
      </c>
      <c r="E28" s="46" t="s">
        <v>44</v>
      </c>
      <c r="F28" s="11">
        <f>C_Vehicles!F28+J_Vehicles!F28</f>
        <v>10</v>
      </c>
      <c r="G28" s="11">
        <f>C_Vehicles!G28+J_Vehicles!G28</f>
        <v>22</v>
      </c>
      <c r="H28" s="11">
        <f>C_Vehicles!H28+J_Vehicles!H28</f>
        <v>4</v>
      </c>
      <c r="I28" s="11">
        <f>C_Vehicles!I28+J_Vehicles!I28</f>
        <v>2</v>
      </c>
      <c r="J28" s="11">
        <f>C_Vehicles!J28+J_Vehicles!J28</f>
        <v>2</v>
      </c>
      <c r="K28" s="11">
        <f>C_Vehicles!K28+J_Vehicles!K28</f>
        <v>3</v>
      </c>
      <c r="L28" s="11">
        <f>C_Vehicles!L28+J_Vehicles!L28</f>
        <v>0</v>
      </c>
      <c r="M28" s="28">
        <f t="shared" si="2"/>
        <v>43</v>
      </c>
      <c r="N28" s="52">
        <f>C_Vehicles!N28+J_Vehicles!N28</f>
        <v>35</v>
      </c>
      <c r="O28" s="53">
        <f>C_Vehicles!O28+J_Vehicles!O28</f>
        <v>18</v>
      </c>
      <c r="P28" s="28">
        <f t="shared" si="0"/>
        <v>78</v>
      </c>
      <c r="Q28" s="9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6" x14ac:dyDescent="0.2">
      <c r="A29" s="88"/>
      <c r="B29" s="35">
        <v>45947</v>
      </c>
      <c r="C29" s="10" t="s">
        <v>32</v>
      </c>
      <c r="D29" s="36" t="s">
        <v>29</v>
      </c>
      <c r="E29" s="45" t="s">
        <v>44</v>
      </c>
      <c r="F29" s="10">
        <f>C_Vehicles!F29+J_Vehicles!F29</f>
        <v>9</v>
      </c>
      <c r="G29" s="10">
        <f>C_Vehicles!G29+J_Vehicles!G29</f>
        <v>13</v>
      </c>
      <c r="H29" s="10">
        <f>C_Vehicles!H29+J_Vehicles!H29</f>
        <v>18</v>
      </c>
      <c r="I29" s="10">
        <f>C_Vehicles!I29+J_Vehicles!I29</f>
        <v>1</v>
      </c>
      <c r="J29" s="10">
        <f>C_Vehicles!J29+J_Vehicles!J29</f>
        <v>4</v>
      </c>
      <c r="K29" s="10">
        <f>C_Vehicles!K29+J_Vehicles!K29</f>
        <v>4</v>
      </c>
      <c r="L29" s="10">
        <f>C_Vehicles!L29+J_Vehicles!L29</f>
        <v>1</v>
      </c>
      <c r="M29" s="27">
        <f t="shared" si="2"/>
        <v>50</v>
      </c>
      <c r="N29" s="50">
        <f>C_Vehicles!N29+J_Vehicles!N29</f>
        <v>34</v>
      </c>
      <c r="O29" s="51">
        <f>C_Vehicles!O29+J_Vehicles!O29</f>
        <v>16</v>
      </c>
      <c r="P29" s="27">
        <f t="shared" si="0"/>
        <v>84</v>
      </c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7" thickBot="1" x14ac:dyDescent="0.25">
      <c r="A30" s="88"/>
      <c r="B30" s="37"/>
      <c r="C30" s="11"/>
      <c r="D30" s="38" t="s">
        <v>30</v>
      </c>
      <c r="E30" s="46" t="s">
        <v>44</v>
      </c>
      <c r="F30" s="11">
        <f>C_Vehicles!F30+J_Vehicles!F30</f>
        <v>6</v>
      </c>
      <c r="G30" s="11">
        <f>C_Vehicles!G30+J_Vehicles!G30</f>
        <v>16</v>
      </c>
      <c r="H30" s="11">
        <f>C_Vehicles!H30+J_Vehicles!H30</f>
        <v>18</v>
      </c>
      <c r="I30" s="11">
        <f>C_Vehicles!I30+J_Vehicles!I30</f>
        <v>0</v>
      </c>
      <c r="J30" s="11">
        <f>C_Vehicles!J30+J_Vehicles!J30</f>
        <v>3</v>
      </c>
      <c r="K30" s="11">
        <f>C_Vehicles!K30+J_Vehicles!K30</f>
        <v>1</v>
      </c>
      <c r="L30" s="11">
        <f>C_Vehicles!L30+J_Vehicles!L30</f>
        <v>4</v>
      </c>
      <c r="M30" s="28">
        <f t="shared" si="2"/>
        <v>48</v>
      </c>
      <c r="N30" s="52">
        <f>C_Vehicles!N30+J_Vehicles!N30</f>
        <v>37</v>
      </c>
      <c r="O30" s="53">
        <f>C_Vehicles!O30+J_Vehicles!O30</f>
        <v>14</v>
      </c>
      <c r="P30" s="28">
        <f t="shared" si="0"/>
        <v>85</v>
      </c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6" x14ac:dyDescent="0.2">
      <c r="A31" s="93" t="s">
        <v>38</v>
      </c>
      <c r="B31" s="39">
        <v>45950</v>
      </c>
      <c r="C31" s="12" t="s">
        <v>36</v>
      </c>
      <c r="D31" s="40" t="s">
        <v>29</v>
      </c>
      <c r="E31" s="47" t="s">
        <v>44</v>
      </c>
      <c r="F31" s="22">
        <f>C_Vehicles!F31+J_Vehicles!F31</f>
        <v>11</v>
      </c>
      <c r="G31" s="22">
        <f>C_Vehicles!G31+J_Vehicles!G31</f>
        <v>17</v>
      </c>
      <c r="H31" s="22">
        <f>C_Vehicles!H31+J_Vehicles!H31</f>
        <v>7</v>
      </c>
      <c r="I31" s="22">
        <f>C_Vehicles!I31+J_Vehicles!I31</f>
        <v>6</v>
      </c>
      <c r="J31" s="22">
        <f>C_Vehicles!J31+J_Vehicles!J31</f>
        <v>2</v>
      </c>
      <c r="K31" s="22">
        <f>C_Vehicles!K31+J_Vehicles!K31</f>
        <v>1</v>
      </c>
      <c r="L31" s="22">
        <f>C_Vehicles!L31+J_Vehicles!L31</f>
        <v>4</v>
      </c>
      <c r="M31" s="31">
        <f t="shared" si="2"/>
        <v>48</v>
      </c>
      <c r="N31" s="58">
        <f>C_Vehicles!N31+J_Vehicles!N31</f>
        <v>27</v>
      </c>
      <c r="O31" s="59">
        <f>C_Vehicles!O31+J_Vehicles!O31</f>
        <v>14</v>
      </c>
      <c r="P31" s="31">
        <f t="shared" si="0"/>
        <v>75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7" thickBot="1" x14ac:dyDescent="0.25">
      <c r="A32" s="88"/>
      <c r="B32" s="41"/>
      <c r="C32" s="13"/>
      <c r="D32" s="42" t="s">
        <v>30</v>
      </c>
      <c r="E32" s="48" t="s">
        <v>44</v>
      </c>
      <c r="F32" s="23">
        <f>C_Vehicles!F32+J_Vehicles!F32</f>
        <v>9</v>
      </c>
      <c r="G32" s="23">
        <f>C_Vehicles!G32+J_Vehicles!G32</f>
        <v>15</v>
      </c>
      <c r="H32" s="23">
        <f>C_Vehicles!H32+J_Vehicles!H32</f>
        <v>4</v>
      </c>
      <c r="I32" s="23">
        <f>C_Vehicles!I32+J_Vehicles!I32</f>
        <v>5</v>
      </c>
      <c r="J32" s="23">
        <f>C_Vehicles!J32+J_Vehicles!J32</f>
        <v>2</v>
      </c>
      <c r="K32" s="23">
        <f>C_Vehicles!K32+J_Vehicles!K32</f>
        <v>1</v>
      </c>
      <c r="L32" s="23">
        <f>C_Vehicles!L32+J_Vehicles!L32</f>
        <v>2</v>
      </c>
      <c r="M32" s="32">
        <f t="shared" si="2"/>
        <v>38</v>
      </c>
      <c r="N32" s="60">
        <f>C_Vehicles!N32+J_Vehicles!N32</f>
        <v>23</v>
      </c>
      <c r="O32" s="61">
        <f>C_Vehicles!O32+J_Vehicles!O32</f>
        <v>12</v>
      </c>
      <c r="P32" s="32">
        <f t="shared" si="0"/>
        <v>61</v>
      </c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6" x14ac:dyDescent="0.2">
      <c r="A33" s="88"/>
      <c r="B33" s="39">
        <v>45951</v>
      </c>
      <c r="C33" s="12" t="s">
        <v>37</v>
      </c>
      <c r="D33" s="40" t="s">
        <v>29</v>
      </c>
      <c r="E33" s="47" t="s">
        <v>44</v>
      </c>
      <c r="F33" s="22">
        <f>C_Vehicles!F33+J_Vehicles!F33</f>
        <v>7</v>
      </c>
      <c r="G33" s="22">
        <f>C_Vehicles!G33+J_Vehicles!G33</f>
        <v>20</v>
      </c>
      <c r="H33" s="22">
        <f>C_Vehicles!H33+J_Vehicles!H33</f>
        <v>5</v>
      </c>
      <c r="I33" s="22">
        <f>C_Vehicles!I33+J_Vehicles!I33</f>
        <v>4</v>
      </c>
      <c r="J33" s="22">
        <f>C_Vehicles!J33+J_Vehicles!J33</f>
        <v>5</v>
      </c>
      <c r="K33" s="22">
        <f>C_Vehicles!K33+J_Vehicles!K33</f>
        <v>0</v>
      </c>
      <c r="L33" s="22">
        <f>C_Vehicles!L33+J_Vehicles!L33</f>
        <v>1</v>
      </c>
      <c r="M33" s="31">
        <f t="shared" si="2"/>
        <v>42</v>
      </c>
      <c r="N33" s="58">
        <f>C_Vehicles!N33+J_Vehicles!N33</f>
        <v>29</v>
      </c>
      <c r="O33" s="59">
        <f>C_Vehicles!O33+J_Vehicles!O33</f>
        <v>13</v>
      </c>
      <c r="P33" s="31">
        <f t="shared" si="0"/>
        <v>71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7" thickBot="1" x14ac:dyDescent="0.25">
      <c r="A34" s="88"/>
      <c r="B34" s="41"/>
      <c r="C34" s="13"/>
      <c r="D34" s="42" t="s">
        <v>30</v>
      </c>
      <c r="E34" s="48" t="s">
        <v>44</v>
      </c>
      <c r="F34" s="23">
        <f>C_Vehicles!F34+J_Vehicles!F34</f>
        <v>7</v>
      </c>
      <c r="G34" s="23">
        <f>C_Vehicles!G34+J_Vehicles!G34</f>
        <v>20</v>
      </c>
      <c r="H34" s="23">
        <f>C_Vehicles!H34+J_Vehicles!H34</f>
        <v>4</v>
      </c>
      <c r="I34" s="23">
        <f>C_Vehicles!I34+J_Vehicles!I34</f>
        <v>3</v>
      </c>
      <c r="J34" s="23">
        <f>C_Vehicles!J34+J_Vehicles!J34</f>
        <v>4</v>
      </c>
      <c r="K34" s="23">
        <f>C_Vehicles!K34+J_Vehicles!K34</f>
        <v>1</v>
      </c>
      <c r="L34" s="23">
        <f>C_Vehicles!L34+J_Vehicles!L34</f>
        <v>4</v>
      </c>
      <c r="M34" s="32">
        <f t="shared" si="2"/>
        <v>43</v>
      </c>
      <c r="N34" s="60">
        <f>C_Vehicles!N34+J_Vehicles!N34</f>
        <v>31</v>
      </c>
      <c r="O34" s="61">
        <f>C_Vehicles!O34+J_Vehicles!O34</f>
        <v>13</v>
      </c>
      <c r="P34" s="32">
        <f t="shared" si="0"/>
        <v>74</v>
      </c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6" x14ac:dyDescent="0.2">
      <c r="A35" s="88"/>
      <c r="B35" s="39">
        <v>45952</v>
      </c>
      <c r="C35" s="12" t="s">
        <v>28</v>
      </c>
      <c r="D35" s="40" t="s">
        <v>29</v>
      </c>
      <c r="E35" s="47" t="s">
        <v>44</v>
      </c>
      <c r="F35" s="22">
        <f>C_Vehicles!F35+J_Vehicles!F35</f>
        <v>10</v>
      </c>
      <c r="G35" s="22">
        <f>C_Vehicles!G35+J_Vehicles!G35</f>
        <v>18</v>
      </c>
      <c r="H35" s="22">
        <f>C_Vehicles!H35+J_Vehicles!H35</f>
        <v>6</v>
      </c>
      <c r="I35" s="22">
        <f>C_Vehicles!I35+J_Vehicles!I35</f>
        <v>2</v>
      </c>
      <c r="J35" s="22">
        <f>C_Vehicles!J35+J_Vehicles!J35</f>
        <v>2</v>
      </c>
      <c r="K35" s="22">
        <f>C_Vehicles!K35+J_Vehicles!K35</f>
        <v>3</v>
      </c>
      <c r="L35" s="22">
        <f>C_Vehicles!L35+J_Vehicles!L35</f>
        <v>0</v>
      </c>
      <c r="M35" s="31">
        <f t="shared" si="2"/>
        <v>41</v>
      </c>
      <c r="N35" s="58">
        <f>C_Vehicles!N35+J_Vehicles!N35</f>
        <v>40</v>
      </c>
      <c r="O35" s="59">
        <f>C_Vehicles!O35+J_Vehicles!O35</f>
        <v>15</v>
      </c>
      <c r="P35" s="31">
        <f t="shared" si="0"/>
        <v>81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7" thickBot="1" x14ac:dyDescent="0.25">
      <c r="A36" s="88"/>
      <c r="B36" s="41"/>
      <c r="C36" s="13"/>
      <c r="D36" s="42" t="s">
        <v>30</v>
      </c>
      <c r="E36" s="48" t="s">
        <v>44</v>
      </c>
      <c r="F36" s="23">
        <f>C_Vehicles!F36+J_Vehicles!F36</f>
        <v>7</v>
      </c>
      <c r="G36" s="23">
        <f>C_Vehicles!G36+J_Vehicles!G36</f>
        <v>21</v>
      </c>
      <c r="H36" s="23">
        <f>C_Vehicles!H36+J_Vehicles!H36</f>
        <v>6</v>
      </c>
      <c r="I36" s="23">
        <f>C_Vehicles!I36+J_Vehicles!I36</f>
        <v>4</v>
      </c>
      <c r="J36" s="23">
        <f>C_Vehicles!J36+J_Vehicles!J36</f>
        <v>0</v>
      </c>
      <c r="K36" s="23">
        <f>C_Vehicles!K36+J_Vehicles!K36</f>
        <v>3</v>
      </c>
      <c r="L36" s="23">
        <f>C_Vehicles!L36+J_Vehicles!L36</f>
        <v>1</v>
      </c>
      <c r="M36" s="32">
        <f t="shared" si="2"/>
        <v>42</v>
      </c>
      <c r="N36" s="60">
        <f>C_Vehicles!N36+J_Vehicles!N36</f>
        <v>30</v>
      </c>
      <c r="O36" s="61">
        <f>C_Vehicles!O36+J_Vehicles!O36</f>
        <v>9</v>
      </c>
      <c r="P36" s="32">
        <f t="shared" si="0"/>
        <v>72</v>
      </c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6" x14ac:dyDescent="0.2">
      <c r="A37" s="88"/>
      <c r="B37" s="39">
        <v>45953</v>
      </c>
      <c r="C37" s="12" t="s">
        <v>31</v>
      </c>
      <c r="D37" s="40" t="s">
        <v>29</v>
      </c>
      <c r="E37" s="47" t="s">
        <v>44</v>
      </c>
      <c r="F37" s="22">
        <f>C_Vehicles!F37+J_Vehicles!F37</f>
        <v>6</v>
      </c>
      <c r="G37" s="22">
        <f>C_Vehicles!G37+J_Vehicles!G37</f>
        <v>24</v>
      </c>
      <c r="H37" s="22">
        <f>C_Vehicles!H37+J_Vehicles!H37</f>
        <v>3</v>
      </c>
      <c r="I37" s="22">
        <f>C_Vehicles!I37+J_Vehicles!I37</f>
        <v>5</v>
      </c>
      <c r="J37" s="22">
        <f>C_Vehicles!J37+J_Vehicles!J37</f>
        <v>4</v>
      </c>
      <c r="K37" s="22">
        <f>C_Vehicles!K37+J_Vehicles!K37</f>
        <v>2</v>
      </c>
      <c r="L37" s="22">
        <f>C_Vehicles!L37+J_Vehicles!L37</f>
        <v>3</v>
      </c>
      <c r="M37" s="31">
        <f t="shared" si="2"/>
        <v>47</v>
      </c>
      <c r="N37" s="58">
        <f>C_Vehicles!N37+J_Vehicles!N37</f>
        <v>35</v>
      </c>
      <c r="O37" s="59">
        <f>C_Vehicles!O37+J_Vehicles!O37</f>
        <v>21</v>
      </c>
      <c r="P37" s="31">
        <f t="shared" si="0"/>
        <v>82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7" thickBot="1" x14ac:dyDescent="0.25">
      <c r="A38" s="88"/>
      <c r="B38" s="41"/>
      <c r="C38" s="13"/>
      <c r="D38" s="42" t="s">
        <v>30</v>
      </c>
      <c r="E38" s="48" t="s">
        <v>44</v>
      </c>
      <c r="F38" s="23">
        <f>C_Vehicles!F38+J_Vehicles!F38</f>
        <v>5</v>
      </c>
      <c r="G38" s="23">
        <f>C_Vehicles!G38+J_Vehicles!G38</f>
        <v>22</v>
      </c>
      <c r="H38" s="23">
        <f>C_Vehicles!H38+J_Vehicles!H38</f>
        <v>5</v>
      </c>
      <c r="I38" s="23">
        <f>C_Vehicles!I38+J_Vehicles!I38</f>
        <v>4</v>
      </c>
      <c r="J38" s="23">
        <f>C_Vehicles!J38+J_Vehicles!J38</f>
        <v>2</v>
      </c>
      <c r="K38" s="23">
        <f>C_Vehicles!K38+J_Vehicles!K38</f>
        <v>3</v>
      </c>
      <c r="L38" s="23">
        <f>C_Vehicles!L38+J_Vehicles!L38</f>
        <v>4</v>
      </c>
      <c r="M38" s="32">
        <f t="shared" si="2"/>
        <v>45</v>
      </c>
      <c r="N38" s="60">
        <f>C_Vehicles!N38+J_Vehicles!N38</f>
        <v>35</v>
      </c>
      <c r="O38" s="61">
        <f>C_Vehicles!O38+J_Vehicles!O38</f>
        <v>19</v>
      </c>
      <c r="P38" s="32">
        <f t="shared" si="0"/>
        <v>80</v>
      </c>
      <c r="Q38" s="9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6" x14ac:dyDescent="0.2">
      <c r="A39" s="88"/>
      <c r="B39" s="39">
        <v>45954</v>
      </c>
      <c r="C39" s="12" t="s">
        <v>32</v>
      </c>
      <c r="D39" s="40" t="s">
        <v>29</v>
      </c>
      <c r="E39" s="47" t="s">
        <v>44</v>
      </c>
      <c r="F39" s="22">
        <f>C_Vehicles!F39+J_Vehicles!F39</f>
        <v>10</v>
      </c>
      <c r="G39" s="22">
        <f>C_Vehicles!G39+J_Vehicles!G39</f>
        <v>16</v>
      </c>
      <c r="H39" s="22">
        <f>C_Vehicles!H39+J_Vehicles!H39</f>
        <v>14</v>
      </c>
      <c r="I39" s="22">
        <f>C_Vehicles!I39+J_Vehicles!I39</f>
        <v>5</v>
      </c>
      <c r="J39" s="22">
        <f>C_Vehicles!J39+J_Vehicles!J39</f>
        <v>1</v>
      </c>
      <c r="K39" s="22">
        <f>C_Vehicles!K39+J_Vehicles!K39</f>
        <v>4</v>
      </c>
      <c r="L39" s="22">
        <f>C_Vehicles!L39+J_Vehicles!L39</f>
        <v>1</v>
      </c>
      <c r="M39" s="31">
        <f t="shared" si="2"/>
        <v>51</v>
      </c>
      <c r="N39" s="58">
        <f>C_Vehicles!N39+J_Vehicles!N39</f>
        <v>8</v>
      </c>
      <c r="O39" s="59">
        <f>C_Vehicles!O39+J_Vehicles!O39</f>
        <v>2</v>
      </c>
      <c r="P39" s="31">
        <f t="shared" si="0"/>
        <v>59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7" thickBot="1" x14ac:dyDescent="0.25">
      <c r="A40" s="88"/>
      <c r="B40" s="41"/>
      <c r="C40" s="13"/>
      <c r="D40" s="42" t="s">
        <v>30</v>
      </c>
      <c r="E40" s="48" t="s">
        <v>44</v>
      </c>
      <c r="F40" s="23">
        <f>C_Vehicles!F40+J_Vehicles!F40</f>
        <v>8</v>
      </c>
      <c r="G40" s="23">
        <f>C_Vehicles!G40+J_Vehicles!G40</f>
        <v>14</v>
      </c>
      <c r="H40" s="23">
        <f>C_Vehicles!H40+J_Vehicles!H40</f>
        <v>12</v>
      </c>
      <c r="I40" s="23">
        <f>C_Vehicles!I40+J_Vehicles!I40</f>
        <v>5</v>
      </c>
      <c r="J40" s="23">
        <f>C_Vehicles!J40+J_Vehicles!J40</f>
        <v>1</v>
      </c>
      <c r="K40" s="23">
        <f>C_Vehicles!K40+J_Vehicles!K40</f>
        <v>4</v>
      </c>
      <c r="L40" s="23">
        <f>C_Vehicles!L40+J_Vehicles!L40</f>
        <v>3</v>
      </c>
      <c r="M40" s="32">
        <f t="shared" si="2"/>
        <v>47</v>
      </c>
      <c r="N40" s="60">
        <f>C_Vehicles!N40+J_Vehicles!N40</f>
        <v>12</v>
      </c>
      <c r="O40" s="61">
        <f>C_Vehicles!O40+J_Vehicles!O40</f>
        <v>2</v>
      </c>
      <c r="P40" s="32">
        <f t="shared" si="0"/>
        <v>59</v>
      </c>
      <c r="Q40" s="9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6" x14ac:dyDescent="0.2">
      <c r="A41" s="87" t="s">
        <v>39</v>
      </c>
      <c r="B41" s="35">
        <v>45957</v>
      </c>
      <c r="C41" s="10" t="s">
        <v>36</v>
      </c>
      <c r="D41" s="36" t="s">
        <v>29</v>
      </c>
      <c r="E41" s="45" t="s">
        <v>44</v>
      </c>
      <c r="F41" s="10">
        <f>C_Vehicles!F41+J_Vehicles!F41</f>
        <v>9</v>
      </c>
      <c r="G41" s="10">
        <f>C_Vehicles!G41+J_Vehicles!G41</f>
        <v>17</v>
      </c>
      <c r="H41" s="10">
        <f>C_Vehicles!H41+J_Vehicles!H41</f>
        <v>9</v>
      </c>
      <c r="I41" s="10">
        <f>C_Vehicles!I41+J_Vehicles!I41</f>
        <v>4</v>
      </c>
      <c r="J41" s="10">
        <f>C_Vehicles!J41+J_Vehicles!J41</f>
        <v>4</v>
      </c>
      <c r="K41" s="10">
        <f>C_Vehicles!K41+J_Vehicles!K41</f>
        <v>3</v>
      </c>
      <c r="L41" s="10">
        <f>C_Vehicles!L41+J_Vehicles!L41</f>
        <v>3</v>
      </c>
      <c r="M41" s="27">
        <f t="shared" ref="M41:M50" si="3">SUM(F41:L41)</f>
        <v>49</v>
      </c>
      <c r="N41" s="50">
        <f>C_Vehicles!N41+J_Vehicles!N41</f>
        <v>31</v>
      </c>
      <c r="O41" s="51">
        <f>C_Vehicles!O41+J_Vehicles!O41</f>
        <v>13</v>
      </c>
      <c r="P41" s="27">
        <f t="shared" si="0"/>
        <v>80</v>
      </c>
      <c r="Q41" s="9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7" thickBot="1" x14ac:dyDescent="0.25">
      <c r="A42" s="88"/>
      <c r="B42" s="37"/>
      <c r="C42" s="11"/>
      <c r="D42" s="38" t="s">
        <v>30</v>
      </c>
      <c r="E42" s="46" t="s">
        <v>44</v>
      </c>
      <c r="F42" s="11">
        <f>C_Vehicles!F42+J_Vehicles!F42</f>
        <v>9</v>
      </c>
      <c r="G42" s="11">
        <f>C_Vehicles!G42+J_Vehicles!G42</f>
        <v>17</v>
      </c>
      <c r="H42" s="11">
        <f>C_Vehicles!H42+J_Vehicles!H42</f>
        <v>5</v>
      </c>
      <c r="I42" s="11">
        <f>C_Vehicles!I42+J_Vehicles!I42</f>
        <v>6</v>
      </c>
      <c r="J42" s="11">
        <f>C_Vehicles!J42+J_Vehicles!J42</f>
        <v>1</v>
      </c>
      <c r="K42" s="11">
        <f>C_Vehicles!K42+J_Vehicles!K42</f>
        <v>3</v>
      </c>
      <c r="L42" s="11">
        <f>C_Vehicles!L42+J_Vehicles!L42</f>
        <v>2</v>
      </c>
      <c r="M42" s="28">
        <f t="shared" si="3"/>
        <v>43</v>
      </c>
      <c r="N42" s="52">
        <f>C_Vehicles!N42+J_Vehicles!N42</f>
        <v>25</v>
      </c>
      <c r="O42" s="53">
        <f>C_Vehicles!O42+J_Vehicles!O42</f>
        <v>8</v>
      </c>
      <c r="P42" s="28">
        <f t="shared" si="0"/>
        <v>68</v>
      </c>
      <c r="Q42" s="9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6" x14ac:dyDescent="0.2">
      <c r="A43" s="88"/>
      <c r="B43" s="35">
        <v>45958</v>
      </c>
      <c r="C43" s="10" t="s">
        <v>37</v>
      </c>
      <c r="D43" s="36" t="s">
        <v>29</v>
      </c>
      <c r="E43" s="45" t="s">
        <v>44</v>
      </c>
      <c r="F43" s="10">
        <f>C_Vehicles!F43+J_Vehicles!F43</f>
        <v>8</v>
      </c>
      <c r="G43" s="10">
        <f>C_Vehicles!G43+J_Vehicles!G43</f>
        <v>22</v>
      </c>
      <c r="H43" s="10">
        <f>C_Vehicles!H43+J_Vehicles!H43</f>
        <v>11</v>
      </c>
      <c r="I43" s="10">
        <f>C_Vehicles!I43+J_Vehicles!I43</f>
        <v>6</v>
      </c>
      <c r="J43" s="10">
        <f>C_Vehicles!J43+J_Vehicles!J43</f>
        <v>4</v>
      </c>
      <c r="K43" s="10">
        <f>C_Vehicles!K43+J_Vehicles!K43</f>
        <v>2</v>
      </c>
      <c r="L43" s="10">
        <f>C_Vehicles!L43+J_Vehicles!L43</f>
        <v>3</v>
      </c>
      <c r="M43" s="27">
        <f t="shared" si="3"/>
        <v>56</v>
      </c>
      <c r="N43" s="50">
        <f>C_Vehicles!N43+J_Vehicles!N43</f>
        <v>37</v>
      </c>
      <c r="O43" s="51">
        <f>C_Vehicles!O43+J_Vehicles!O43</f>
        <v>18</v>
      </c>
      <c r="P43" s="27">
        <f t="shared" si="0"/>
        <v>93</v>
      </c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7" thickBot="1" x14ac:dyDescent="0.25">
      <c r="A44" s="88"/>
      <c r="B44" s="37"/>
      <c r="C44" s="11"/>
      <c r="D44" s="38" t="s">
        <v>30</v>
      </c>
      <c r="E44" s="46" t="s">
        <v>44</v>
      </c>
      <c r="F44" s="11">
        <f>C_Vehicles!F44+J_Vehicles!F44</f>
        <v>6</v>
      </c>
      <c r="G44" s="11">
        <f>C_Vehicles!G44+J_Vehicles!G44</f>
        <v>20</v>
      </c>
      <c r="H44" s="11">
        <f>C_Vehicles!H44+J_Vehicles!H44</f>
        <v>12</v>
      </c>
      <c r="I44" s="11">
        <f>C_Vehicles!I44+J_Vehicles!I44</f>
        <v>3</v>
      </c>
      <c r="J44" s="11">
        <f>C_Vehicles!J44+J_Vehicles!J44</f>
        <v>2</v>
      </c>
      <c r="K44" s="11">
        <f>C_Vehicles!K44+J_Vehicles!K44</f>
        <v>2</v>
      </c>
      <c r="L44" s="11">
        <f>C_Vehicles!L44+J_Vehicles!L44</f>
        <v>4</v>
      </c>
      <c r="M44" s="28">
        <f t="shared" si="3"/>
        <v>49</v>
      </c>
      <c r="N44" s="52">
        <f>C_Vehicles!N44+J_Vehicles!N44</f>
        <v>39</v>
      </c>
      <c r="O44" s="53">
        <f>C_Vehicles!O44+J_Vehicles!O44</f>
        <v>19</v>
      </c>
      <c r="P44" s="28">
        <f t="shared" si="0"/>
        <v>88</v>
      </c>
      <c r="Q44" s="9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6" x14ac:dyDescent="0.2">
      <c r="A45" s="88"/>
      <c r="B45" s="35">
        <v>45959</v>
      </c>
      <c r="C45" s="10" t="s">
        <v>28</v>
      </c>
      <c r="D45" s="36" t="s">
        <v>29</v>
      </c>
      <c r="E45" s="45" t="s">
        <v>44</v>
      </c>
      <c r="F45" s="10">
        <f>C_Vehicles!F45+J_Vehicles!F45</f>
        <v>6</v>
      </c>
      <c r="G45" s="10">
        <f>C_Vehicles!G45+J_Vehicles!G45</f>
        <v>23</v>
      </c>
      <c r="H45" s="10">
        <f>C_Vehicles!H45+J_Vehicles!H45</f>
        <v>8</v>
      </c>
      <c r="I45" s="10">
        <f>C_Vehicles!I45+J_Vehicles!I45</f>
        <v>2</v>
      </c>
      <c r="J45" s="10">
        <f>C_Vehicles!J45+J_Vehicles!J45</f>
        <v>5</v>
      </c>
      <c r="K45" s="10">
        <f>C_Vehicles!K45+J_Vehicles!K45</f>
        <v>3</v>
      </c>
      <c r="L45" s="10">
        <f>C_Vehicles!L45+J_Vehicles!L45</f>
        <v>3</v>
      </c>
      <c r="M45" s="27">
        <f t="shared" si="3"/>
        <v>50</v>
      </c>
      <c r="N45" s="50">
        <f>C_Vehicles!N45+J_Vehicles!N45</f>
        <v>39</v>
      </c>
      <c r="O45" s="51">
        <f>C_Vehicles!O45+J_Vehicles!O45</f>
        <v>22</v>
      </c>
      <c r="P45" s="27">
        <f t="shared" si="0"/>
        <v>89</v>
      </c>
      <c r="Q45" s="9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7" thickBot="1" x14ac:dyDescent="0.25">
      <c r="A46" s="88"/>
      <c r="B46" s="37"/>
      <c r="C46" s="11"/>
      <c r="D46" s="38" t="s">
        <v>30</v>
      </c>
      <c r="E46" s="46" t="s">
        <v>44</v>
      </c>
      <c r="F46" s="11">
        <f>C_Vehicles!F46+J_Vehicles!F46</f>
        <v>4</v>
      </c>
      <c r="G46" s="11">
        <f>C_Vehicles!G46+J_Vehicles!G46</f>
        <v>17</v>
      </c>
      <c r="H46" s="11">
        <f>C_Vehicles!H46+J_Vehicles!H46</f>
        <v>5</v>
      </c>
      <c r="I46" s="11">
        <f>C_Vehicles!I46+J_Vehicles!I46</f>
        <v>2</v>
      </c>
      <c r="J46" s="11">
        <f>C_Vehicles!J46+J_Vehicles!J46</f>
        <v>6</v>
      </c>
      <c r="K46" s="11">
        <f>C_Vehicles!K46+J_Vehicles!K46</f>
        <v>3</v>
      </c>
      <c r="L46" s="11">
        <f>C_Vehicles!L46+J_Vehicles!L46</f>
        <v>3</v>
      </c>
      <c r="M46" s="28">
        <f t="shared" si="3"/>
        <v>40</v>
      </c>
      <c r="N46" s="52">
        <f>C_Vehicles!N46+J_Vehicles!N46</f>
        <v>35</v>
      </c>
      <c r="O46" s="53">
        <f>C_Vehicles!O46+J_Vehicles!O46</f>
        <v>20</v>
      </c>
      <c r="P46" s="28">
        <f t="shared" si="0"/>
        <v>75</v>
      </c>
      <c r="Q46" s="9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6" x14ac:dyDescent="0.2">
      <c r="A47" s="88"/>
      <c r="B47" s="35">
        <v>45960</v>
      </c>
      <c r="C47" s="10" t="s">
        <v>31</v>
      </c>
      <c r="D47" s="36" t="s">
        <v>29</v>
      </c>
      <c r="E47" s="45" t="s">
        <v>44</v>
      </c>
      <c r="F47" s="10">
        <f>C_Vehicles!F47+J_Vehicles!F47</f>
        <v>6</v>
      </c>
      <c r="G47" s="10">
        <f>C_Vehicles!G47+J_Vehicles!G47</f>
        <v>19</v>
      </c>
      <c r="H47" s="10">
        <f>C_Vehicles!H47+J_Vehicles!H47</f>
        <v>11</v>
      </c>
      <c r="I47" s="10">
        <f>C_Vehicles!I47+J_Vehicles!I47</f>
        <v>3</v>
      </c>
      <c r="J47" s="10">
        <f>C_Vehicles!J47+J_Vehicles!J47</f>
        <v>3</v>
      </c>
      <c r="K47" s="10">
        <f>C_Vehicles!K47+J_Vehicles!K47</f>
        <v>3</v>
      </c>
      <c r="L47" s="10">
        <f>C_Vehicles!L47+J_Vehicles!L47</f>
        <v>3</v>
      </c>
      <c r="M47" s="27">
        <f t="shared" si="3"/>
        <v>48</v>
      </c>
      <c r="N47" s="50">
        <f>C_Vehicles!N47+J_Vehicles!N47</f>
        <v>36</v>
      </c>
      <c r="O47" s="51">
        <f>C_Vehicles!O47+J_Vehicles!O47</f>
        <v>24</v>
      </c>
      <c r="P47" s="27">
        <f t="shared" si="0"/>
        <v>84</v>
      </c>
      <c r="Q47" s="9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7" thickBot="1" x14ac:dyDescent="0.25">
      <c r="A48" s="88"/>
      <c r="B48" s="37"/>
      <c r="C48" s="11"/>
      <c r="D48" s="38" t="s">
        <v>30</v>
      </c>
      <c r="E48" s="46" t="s">
        <v>44</v>
      </c>
      <c r="F48" s="11">
        <f>C_Vehicles!F48+J_Vehicles!F48</f>
        <v>7</v>
      </c>
      <c r="G48" s="11">
        <f>C_Vehicles!G48+J_Vehicles!G48</f>
        <v>18</v>
      </c>
      <c r="H48" s="11">
        <f>C_Vehicles!H48+J_Vehicles!H48</f>
        <v>10</v>
      </c>
      <c r="I48" s="11">
        <f>C_Vehicles!I48+J_Vehicles!I48</f>
        <v>5</v>
      </c>
      <c r="J48" s="11">
        <f>C_Vehicles!J48+J_Vehicles!J48</f>
        <v>2</v>
      </c>
      <c r="K48" s="11">
        <f>C_Vehicles!K48+J_Vehicles!K48</f>
        <v>3</v>
      </c>
      <c r="L48" s="11">
        <f>C_Vehicles!L48+J_Vehicles!L48</f>
        <v>2</v>
      </c>
      <c r="M48" s="28">
        <f t="shared" si="3"/>
        <v>47</v>
      </c>
      <c r="N48" s="52">
        <f>C_Vehicles!N48+J_Vehicles!N48</f>
        <v>37</v>
      </c>
      <c r="O48" s="53">
        <f>C_Vehicles!O48+J_Vehicles!O48</f>
        <v>21</v>
      </c>
      <c r="P48" s="28">
        <f t="shared" si="0"/>
        <v>84</v>
      </c>
      <c r="Q48" s="9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6" x14ac:dyDescent="0.2">
      <c r="A49" s="88"/>
      <c r="B49" s="35">
        <v>45961</v>
      </c>
      <c r="C49" s="10" t="s">
        <v>32</v>
      </c>
      <c r="D49" s="36" t="s">
        <v>29</v>
      </c>
      <c r="E49" s="45" t="s">
        <v>44</v>
      </c>
      <c r="F49" s="10">
        <f>C_Vehicles!F49+J_Vehicles!F49</f>
        <v>14</v>
      </c>
      <c r="G49" s="10">
        <f>C_Vehicles!G49+J_Vehicles!G49</f>
        <v>15</v>
      </c>
      <c r="H49" s="10">
        <f>C_Vehicles!H49+J_Vehicles!H49</f>
        <v>17</v>
      </c>
      <c r="I49" s="10">
        <f>C_Vehicles!I49+J_Vehicles!I49</f>
        <v>0</v>
      </c>
      <c r="J49" s="10">
        <f>C_Vehicles!J49+J_Vehicles!J49</f>
        <v>4</v>
      </c>
      <c r="K49" s="10">
        <f>C_Vehicles!K49+J_Vehicles!K49</f>
        <v>6</v>
      </c>
      <c r="L49" s="10">
        <f>C_Vehicles!L49+J_Vehicles!L49</f>
        <v>2</v>
      </c>
      <c r="M49" s="27">
        <f t="shared" si="3"/>
        <v>58</v>
      </c>
      <c r="N49" s="50">
        <f>C_Vehicles!N49+J_Vehicles!N49</f>
        <v>32</v>
      </c>
      <c r="O49" s="51">
        <f>C_Vehicles!O49+J_Vehicles!O49</f>
        <v>15</v>
      </c>
      <c r="P49" s="27">
        <f t="shared" si="0"/>
        <v>90</v>
      </c>
      <c r="Q49" s="9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7" thickBot="1" x14ac:dyDescent="0.25">
      <c r="A50" s="89"/>
      <c r="B50" s="43"/>
      <c r="C50" s="33"/>
      <c r="D50" s="44" t="s">
        <v>30</v>
      </c>
      <c r="E50" s="49" t="s">
        <v>44</v>
      </c>
      <c r="F50" s="33">
        <f>C_Vehicles!F50+J_Vehicles!F50</f>
        <v>10</v>
      </c>
      <c r="G50" s="33">
        <f>C_Vehicles!G50+J_Vehicles!G50</f>
        <v>23</v>
      </c>
      <c r="H50" s="33">
        <f>C_Vehicles!H50+J_Vehicles!H50</f>
        <v>20</v>
      </c>
      <c r="I50" s="33">
        <f>C_Vehicles!I50+J_Vehicles!I50</f>
        <v>3</v>
      </c>
      <c r="J50" s="33">
        <f>C_Vehicles!J50+J_Vehicles!J50</f>
        <v>0</v>
      </c>
      <c r="K50" s="33">
        <f>C_Vehicles!K50+J_Vehicles!K50</f>
        <v>5</v>
      </c>
      <c r="L50" s="33">
        <f>C_Vehicles!L50+J_Vehicles!L50</f>
        <v>4</v>
      </c>
      <c r="M50" s="28">
        <f t="shared" si="3"/>
        <v>65</v>
      </c>
      <c r="N50" s="62">
        <f>C_Vehicles!N50+J_Vehicles!N50</f>
        <v>35</v>
      </c>
      <c r="O50" s="63">
        <f>C_Vehicles!O50+J_Vehicles!O50</f>
        <v>18</v>
      </c>
      <c r="P50" s="28">
        <f t="shared" si="0"/>
        <v>100</v>
      </c>
      <c r="Q50" s="9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3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3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3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3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3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" x14ac:dyDescent="0.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" x14ac:dyDescent="0.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" x14ac:dyDescent="0.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" x14ac:dyDescent="0.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" x14ac:dyDescent="0.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" x14ac:dyDescent="0.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" x14ac:dyDescent="0.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" x14ac:dyDescent="0.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" x14ac:dyDescent="0.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" x14ac:dyDescent="0.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" x14ac:dyDescent="0.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" x14ac:dyDescent="0.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" x14ac:dyDescent="0.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" x14ac:dyDescent="0.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" x14ac:dyDescent="0.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" x14ac:dyDescent="0.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" x14ac:dyDescent="0.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" x14ac:dyDescent="0.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" x14ac:dyDescent="0.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" x14ac:dyDescent="0.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" x14ac:dyDescent="0.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" x14ac:dyDescent="0.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" x14ac:dyDescent="0.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" x14ac:dyDescent="0.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" x14ac:dyDescent="0.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" x14ac:dyDescent="0.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" x14ac:dyDescent="0.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" x14ac:dyDescent="0.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" x14ac:dyDescent="0.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" x14ac:dyDescent="0.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" x14ac:dyDescent="0.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" x14ac:dyDescent="0.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" x14ac:dyDescent="0.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" x14ac:dyDescent="0.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" x14ac:dyDescent="0.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" x14ac:dyDescent="0.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" x14ac:dyDescent="0.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" x14ac:dyDescent="0.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" x14ac:dyDescent="0.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" x14ac:dyDescent="0.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3" x14ac:dyDescent="0.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3" x14ac:dyDescent="0.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3" x14ac:dyDescent="0.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3" x14ac:dyDescent="0.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3" x14ac:dyDescent="0.1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3" x14ac:dyDescent="0.1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3" x14ac:dyDescent="0.1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3" x14ac:dyDescent="0.1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3" x14ac:dyDescent="0.1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3" x14ac:dyDescent="0.1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</sheetData>
  <mergeCells count="6">
    <mergeCell ref="A41:A50"/>
    <mergeCell ref="B1:P1"/>
    <mergeCell ref="A3:A10"/>
    <mergeCell ref="A11:A20"/>
    <mergeCell ref="A21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Charging Infrastructure</vt:lpstr>
      <vt:lpstr>C_Vehicles</vt:lpstr>
      <vt:lpstr>J_Vehicles</vt:lpstr>
      <vt:lpstr>All_Vehicles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DO</cp:lastModifiedBy>
  <dcterms:modified xsi:type="dcterms:W3CDTF">2025-11-12T18:04:42Z</dcterms:modified>
</cp:coreProperties>
</file>